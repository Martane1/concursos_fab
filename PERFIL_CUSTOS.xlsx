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ivanmartane/Desktop/Área de Trabalho/Pessoal/Programação/Dashboard_Concursos/concursos_fab/"/>
    </mc:Choice>
  </mc:AlternateContent>
  <xr:revisionPtr revIDLastSave="0" documentId="13_ncr:1_{9D6336B6-3368-A34D-B804-E32890F2009A}" xr6:coauthVersionLast="47" xr6:coauthVersionMax="47" xr10:uidLastSave="{00000000-0000-0000-0000-000000000000}"/>
  <bookViews>
    <workbookView xWindow="28800" yWindow="2220" windowWidth="22320" windowHeight="15780" tabRatio="829" activeTab="4" xr2:uid="{A9EA2ABB-FFE1-464C-AB26-EFB24DDD9B3C}"/>
  </bookViews>
  <sheets>
    <sheet name="AFA" sheetId="1" state="hidden" r:id="rId1"/>
    <sheet name="AFA - IMPACTO" sheetId="3" state="hidden" r:id="rId2"/>
    <sheet name="PERFIL" sheetId="4" r:id="rId3"/>
    <sheet name="PAINEL" sheetId="5" r:id="rId4"/>
    <sheet name="CUSTO" sheetId="7" r:id="rId5"/>
    <sheet name="INSS" sheetId="13" state="hidden" r:id="rId6"/>
  </sheets>
  <definedNames>
    <definedName name="_xlnm._FilterDatabase" localSheetId="4" hidden="1">CUSTO!$A$1:$AA$39</definedName>
    <definedName name="_xlnm._FilterDatabase" localSheetId="3" hidden="1">PAINEL!$A$1:$H$203</definedName>
    <definedName name="_xlnm._FilterDatabase" localSheetId="2" hidden="1">PERFIL!$A$1:$D$146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1" i="7" l="1"/>
  <c r="B32" i="7"/>
  <c r="B33" i="7"/>
  <c r="B34" i="7"/>
  <c r="B35" i="7"/>
  <c r="B36" i="7"/>
  <c r="B37" i="7"/>
  <c r="B38" i="7"/>
  <c r="B14" i="7"/>
  <c r="B15" i="7"/>
  <c r="B16" i="7"/>
  <c r="B17" i="7"/>
  <c r="B18" i="7"/>
  <c r="B19" i="7"/>
  <c r="B20" i="7"/>
  <c r="B21" i="7"/>
  <c r="B22" i="7"/>
  <c r="B23" i="7"/>
  <c r="B24" i="7"/>
  <c r="B25" i="7"/>
  <c r="B26" i="7"/>
  <c r="B27" i="7"/>
  <c r="B28" i="7"/>
  <c r="B29" i="7"/>
  <c r="B30" i="7"/>
  <c r="B5" i="7"/>
  <c r="B6" i="7"/>
  <c r="B7" i="7"/>
  <c r="B8" i="7"/>
  <c r="B9" i="7"/>
  <c r="B10" i="7"/>
  <c r="B11" i="7"/>
  <c r="B12" i="7"/>
  <c r="B13" i="7"/>
  <c r="B4" i="7"/>
  <c r="F25" i="7"/>
  <c r="L25" i="7" s="1"/>
  <c r="U25" i="7" s="1"/>
  <c r="V25" i="7" s="1"/>
  <c r="W25" i="7" s="1"/>
  <c r="E19" i="7"/>
  <c r="E20" i="7"/>
  <c r="E17" i="7"/>
  <c r="H39" i="7"/>
  <c r="D39" i="7"/>
  <c r="F4" i="7"/>
  <c r="F51" i="4" s="1"/>
  <c r="C2" i="13"/>
  <c r="F1" i="13" s="1"/>
  <c r="F98" i="4" l="1"/>
  <c r="F135" i="4"/>
  <c r="F110" i="4"/>
  <c r="F70" i="4"/>
  <c r="R25" i="7"/>
  <c r="S25" i="7" s="1"/>
  <c r="T25" i="7" s="1"/>
  <c r="G25" i="7" s="1"/>
  <c r="J25" i="7" s="1"/>
  <c r="K25" i="7" s="1"/>
  <c r="M25" i="7"/>
  <c r="X25" i="7" s="1"/>
  <c r="Y25" i="7" s="1"/>
  <c r="Z25" i="7" s="1"/>
  <c r="AA25" i="7" s="1"/>
  <c r="N25" i="7" s="1"/>
  <c r="R4" i="7"/>
  <c r="S4" i="7" s="1"/>
  <c r="E18" i="7"/>
  <c r="O25" i="7" l="1"/>
  <c r="E39" i="7"/>
  <c r="T4" i="7"/>
  <c r="G4" i="7" s="1"/>
  <c r="J4" i="7" s="1"/>
  <c r="F36" i="7"/>
  <c r="F37" i="7"/>
  <c r="F109" i="4" s="1"/>
  <c r="F38" i="7"/>
  <c r="F31" i="7"/>
  <c r="F34" i="4" s="1"/>
  <c r="F32" i="7"/>
  <c r="F33" i="7"/>
  <c r="F34" i="7"/>
  <c r="F35" i="7"/>
  <c r="F88" i="4" s="1"/>
  <c r="F30" i="7"/>
  <c r="F5" i="7"/>
  <c r="F52" i="4" s="1"/>
  <c r="F6" i="7"/>
  <c r="F7" i="7"/>
  <c r="F8" i="7"/>
  <c r="F9" i="7"/>
  <c r="F39" i="4" s="1"/>
  <c r="F10" i="7"/>
  <c r="F55" i="4" s="1"/>
  <c r="F11" i="7"/>
  <c r="F12" i="7"/>
  <c r="F13" i="7"/>
  <c r="F14" i="7"/>
  <c r="F15" i="7"/>
  <c r="F16" i="7"/>
  <c r="F17" i="7"/>
  <c r="F18" i="7"/>
  <c r="F62" i="4" s="1"/>
  <c r="F19" i="7"/>
  <c r="F63" i="4" s="1"/>
  <c r="F20" i="7"/>
  <c r="F21" i="7"/>
  <c r="F65" i="4" s="1"/>
  <c r="F22" i="7"/>
  <c r="F23" i="7"/>
  <c r="F24" i="7"/>
  <c r="F26" i="7"/>
  <c r="F27" i="7"/>
  <c r="F28" i="7"/>
  <c r="F29" i="7"/>
  <c r="A4" i="5" a="1"/>
  <c r="A4" i="5" s="1"/>
  <c r="F11" i="4" l="1"/>
  <c r="F19" i="4"/>
  <c r="F12" i="4"/>
  <c r="F20" i="4"/>
  <c r="F100" i="4"/>
  <c r="F13" i="4"/>
  <c r="F21" i="4"/>
  <c r="F101" i="4"/>
  <c r="F6" i="4"/>
  <c r="F14" i="4"/>
  <c r="F22" i="4"/>
  <c r="F102" i="4"/>
  <c r="F16" i="4"/>
  <c r="F24" i="4"/>
  <c r="F104" i="4"/>
  <c r="F7" i="4"/>
  <c r="F15" i="4"/>
  <c r="F23" i="4"/>
  <c r="F103" i="4"/>
  <c r="F10" i="4"/>
  <c r="F18" i="4"/>
  <c r="F26" i="4"/>
  <c r="F8" i="4"/>
  <c r="F106" i="4"/>
  <c r="F9" i="4"/>
  <c r="F17" i="4"/>
  <c r="F25" i="4"/>
  <c r="F105" i="4"/>
  <c r="F95" i="4"/>
  <c r="F138" i="4"/>
  <c r="F57" i="4"/>
  <c r="F43" i="4"/>
  <c r="F75" i="4"/>
  <c r="F91" i="4"/>
  <c r="F107" i="4"/>
  <c r="F123" i="4"/>
  <c r="F131" i="4"/>
  <c r="F44" i="4"/>
  <c r="F76" i="4"/>
  <c r="F92" i="4"/>
  <c r="F108" i="4"/>
  <c r="F124" i="4"/>
  <c r="F132" i="4"/>
  <c r="F45" i="4"/>
  <c r="F77" i="4"/>
  <c r="F93" i="4"/>
  <c r="F125" i="4"/>
  <c r="F133" i="4"/>
  <c r="F46" i="4"/>
  <c r="F78" i="4"/>
  <c r="F94" i="4"/>
  <c r="F126" i="4"/>
  <c r="F134" i="4"/>
  <c r="F127" i="4"/>
  <c r="F48" i="4"/>
  <c r="F80" i="4"/>
  <c r="F128" i="4"/>
  <c r="F47" i="4"/>
  <c r="F79" i="4"/>
  <c r="F42" i="4"/>
  <c r="F74" i="4"/>
  <c r="F82" i="4"/>
  <c r="F130" i="4"/>
  <c r="F122" i="4"/>
  <c r="F41" i="4"/>
  <c r="F49" i="4"/>
  <c r="F81" i="4"/>
  <c r="F113" i="4"/>
  <c r="F121" i="4"/>
  <c r="F129" i="4"/>
  <c r="F27" i="4"/>
  <c r="F28" i="4"/>
  <c r="F68" i="4"/>
  <c r="F29" i="4"/>
  <c r="F69" i="4"/>
  <c r="F117" i="4"/>
  <c r="F30" i="4"/>
  <c r="F32" i="4"/>
  <c r="F31" i="4"/>
  <c r="F60" i="4"/>
  <c r="F114" i="4"/>
  <c r="F99" i="4"/>
  <c r="F140" i="4"/>
  <c r="F54" i="4"/>
  <c r="F85" i="4"/>
  <c r="F120" i="4"/>
  <c r="F67" i="4"/>
  <c r="F116" i="4"/>
  <c r="F59" i="4"/>
  <c r="F5" i="4"/>
  <c r="F142" i="4"/>
  <c r="F3" i="4"/>
  <c r="F38" i="4"/>
  <c r="F112" i="4"/>
  <c r="F115" i="4"/>
  <c r="F66" i="4"/>
  <c r="F4" i="4"/>
  <c r="F144" i="4"/>
  <c r="F58" i="4"/>
  <c r="F97" i="4"/>
  <c r="F2" i="4"/>
  <c r="F53" i="4"/>
  <c r="F143" i="4"/>
  <c r="F37" i="4"/>
  <c r="F90" i="4"/>
  <c r="F119" i="4"/>
  <c r="R13" i="7"/>
  <c r="S13" i="7" s="1"/>
  <c r="T13" i="7" s="1"/>
  <c r="G13" i="7" s="1"/>
  <c r="F40" i="4"/>
  <c r="F83" i="4"/>
  <c r="F84" i="4"/>
  <c r="F118" i="4"/>
  <c r="F96" i="4"/>
  <c r="F145" i="4"/>
  <c r="F56" i="4"/>
  <c r="F136" i="4"/>
  <c r="F111" i="4"/>
  <c r="F33" i="4"/>
  <c r="F73" i="4"/>
  <c r="F141" i="4"/>
  <c r="F87" i="4"/>
  <c r="F64" i="4"/>
  <c r="F139" i="4"/>
  <c r="F36" i="4"/>
  <c r="F89" i="4"/>
  <c r="F72" i="4"/>
  <c r="F71" i="4"/>
  <c r="F137" i="4"/>
  <c r="R17" i="7"/>
  <c r="S17" i="7" s="1"/>
  <c r="T17" i="7" s="1"/>
  <c r="G17" i="7" s="1"/>
  <c r="J17" i="7" s="1"/>
  <c r="K17" i="7" s="1"/>
  <c r="F61" i="4"/>
  <c r="F35" i="4"/>
  <c r="F86" i="4"/>
  <c r="F50" i="4"/>
  <c r="F146" i="4"/>
  <c r="M24" i="7"/>
  <c r="X24" i="7" s="1"/>
  <c r="Y24" i="7" s="1"/>
  <c r="Z24" i="7" s="1"/>
  <c r="R24" i="7"/>
  <c r="S24" i="7" s="1"/>
  <c r="T24" i="7" s="1"/>
  <c r="G24" i="7" s="1"/>
  <c r="J24" i="7" s="1"/>
  <c r="K24" i="7" s="1"/>
  <c r="R23" i="7"/>
  <c r="S23" i="7" s="1"/>
  <c r="T23" i="7" s="1"/>
  <c r="G23" i="7" s="1"/>
  <c r="J23" i="7" s="1"/>
  <c r="K23" i="7" s="1"/>
  <c r="R8" i="7"/>
  <c r="S8" i="7" s="1"/>
  <c r="T8" i="7" s="1"/>
  <c r="G8" i="7" s="1"/>
  <c r="J8" i="7" s="1"/>
  <c r="K8" i="7" s="1"/>
  <c r="L22" i="7"/>
  <c r="U22" i="7" s="1"/>
  <c r="V22" i="7" s="1"/>
  <c r="W22" i="7" s="1"/>
  <c r="R22" i="7"/>
  <c r="S22" i="7" s="1"/>
  <c r="T22" i="7" s="1"/>
  <c r="G22" i="7" s="1"/>
  <c r="J22" i="7" s="1"/>
  <c r="K22" i="7" s="1"/>
  <c r="L7" i="7"/>
  <c r="U7" i="7" s="1"/>
  <c r="V7" i="7" s="1"/>
  <c r="W7" i="7" s="1"/>
  <c r="R7" i="7"/>
  <c r="S7" i="7" s="1"/>
  <c r="T7" i="7" s="1"/>
  <c r="G7" i="7" s="1"/>
  <c r="J7" i="7" s="1"/>
  <c r="K7" i="7" s="1"/>
  <c r="R21" i="7"/>
  <c r="S21" i="7" s="1"/>
  <c r="T21" i="7" s="1"/>
  <c r="G21" i="7" s="1"/>
  <c r="J21" i="7" s="1"/>
  <c r="K21" i="7" s="1"/>
  <c r="R6" i="7"/>
  <c r="S6" i="7" s="1"/>
  <c r="T6" i="7" s="1"/>
  <c r="G6" i="7" s="1"/>
  <c r="J6" i="7" s="1"/>
  <c r="K6" i="7" s="1"/>
  <c r="R37" i="7"/>
  <c r="S37" i="7" s="1"/>
  <c r="T37" i="7" s="1"/>
  <c r="G37" i="7" s="1"/>
  <c r="J37" i="7" s="1"/>
  <c r="K37" i="7" s="1"/>
  <c r="R11" i="7"/>
  <c r="S11" i="7" s="1"/>
  <c r="T11" i="7" s="1"/>
  <c r="G11" i="7" s="1"/>
  <c r="J11" i="7" s="1"/>
  <c r="K11" i="7" s="1"/>
  <c r="R34" i="7"/>
  <c r="S34" i="7" s="1"/>
  <c r="T34" i="7" s="1"/>
  <c r="G34" i="7" s="1"/>
  <c r="J34" i="7" s="1"/>
  <c r="K34" i="7" s="1"/>
  <c r="R16" i="7"/>
  <c r="S16" i="7" s="1"/>
  <c r="T16" i="7" s="1"/>
  <c r="G16" i="7" s="1"/>
  <c r="J16" i="7" s="1"/>
  <c r="K16" i="7" s="1"/>
  <c r="L33" i="7"/>
  <c r="U33" i="7" s="1"/>
  <c r="V33" i="7" s="1"/>
  <c r="W33" i="7" s="1"/>
  <c r="R33" i="7"/>
  <c r="S33" i="7" s="1"/>
  <c r="T33" i="7" s="1"/>
  <c r="G33" i="7" s="1"/>
  <c r="J33" i="7" s="1"/>
  <c r="K33" i="7" s="1"/>
  <c r="L38" i="7"/>
  <c r="U38" i="7" s="1"/>
  <c r="V38" i="7" s="1"/>
  <c r="W38" i="7" s="1"/>
  <c r="R38" i="7"/>
  <c r="S38" i="7" s="1"/>
  <c r="T38" i="7" s="1"/>
  <c r="G38" i="7" s="1"/>
  <c r="J38" i="7" s="1"/>
  <c r="K38" i="7" s="1"/>
  <c r="M12" i="7"/>
  <c r="X12" i="7" s="1"/>
  <c r="Y12" i="7" s="1"/>
  <c r="Z12" i="7" s="1"/>
  <c r="R12" i="7"/>
  <c r="S12" i="7" s="1"/>
  <c r="T12" i="7" s="1"/>
  <c r="G12" i="7" s="1"/>
  <c r="J12" i="7" s="1"/>
  <c r="K12" i="7" s="1"/>
  <c r="R36" i="7"/>
  <c r="S36" i="7" s="1"/>
  <c r="T36" i="7" s="1"/>
  <c r="G36" i="7" s="1"/>
  <c r="J36" i="7" s="1"/>
  <c r="K36" i="7" s="1"/>
  <c r="R10" i="7"/>
  <c r="S10" i="7" s="1"/>
  <c r="T10" i="7" s="1"/>
  <c r="G10" i="7" s="1"/>
  <c r="J10" i="7" s="1"/>
  <c r="K10" i="7" s="1"/>
  <c r="L9" i="7"/>
  <c r="U9" i="7" s="1"/>
  <c r="V9" i="7" s="1"/>
  <c r="W9" i="7" s="1"/>
  <c r="R9" i="7"/>
  <c r="S9" i="7" s="1"/>
  <c r="T9" i="7" s="1"/>
  <c r="G9" i="7" s="1"/>
  <c r="R29" i="7"/>
  <c r="S29" i="7" s="1"/>
  <c r="T29" i="7" s="1"/>
  <c r="G29" i="7" s="1"/>
  <c r="J29" i="7" s="1"/>
  <c r="K29" i="7" s="1"/>
  <c r="R20" i="7"/>
  <c r="S20" i="7" s="1"/>
  <c r="T20" i="7" s="1"/>
  <c r="G20" i="7" s="1"/>
  <c r="J20" i="7" s="1"/>
  <c r="K20" i="7" s="1"/>
  <c r="R5" i="7"/>
  <c r="S5" i="7" s="1"/>
  <c r="T5" i="7" s="1"/>
  <c r="G5" i="7" s="1"/>
  <c r="J5" i="7" s="1"/>
  <c r="K5" i="7" s="1"/>
  <c r="F39" i="7"/>
  <c r="L28" i="7"/>
  <c r="U28" i="7" s="1"/>
  <c r="V28" i="7" s="1"/>
  <c r="W28" i="7" s="1"/>
  <c r="R28" i="7"/>
  <c r="S28" i="7" s="1"/>
  <c r="T28" i="7" s="1"/>
  <c r="G28" i="7" s="1"/>
  <c r="J28" i="7" s="1"/>
  <c r="K28" i="7" s="1"/>
  <c r="R19" i="7"/>
  <c r="S19" i="7" s="1"/>
  <c r="T19" i="7" s="1"/>
  <c r="G19" i="7" s="1"/>
  <c r="J19" i="7" s="1"/>
  <c r="K19" i="7" s="1"/>
  <c r="M30" i="7"/>
  <c r="X30" i="7" s="1"/>
  <c r="Y30" i="7" s="1"/>
  <c r="Z30" i="7" s="1"/>
  <c r="R30" i="7"/>
  <c r="S30" i="7" s="1"/>
  <c r="T30" i="7" s="1"/>
  <c r="G30" i="7" s="1"/>
  <c r="J30" i="7" s="1"/>
  <c r="K30" i="7" s="1"/>
  <c r="L27" i="7"/>
  <c r="U27" i="7" s="1"/>
  <c r="V27" i="7" s="1"/>
  <c r="W27" i="7" s="1"/>
  <c r="R27" i="7"/>
  <c r="S27" i="7" s="1"/>
  <c r="T27" i="7" s="1"/>
  <c r="G27" i="7" s="1"/>
  <c r="J27" i="7" s="1"/>
  <c r="K27" i="7" s="1"/>
  <c r="M18" i="7"/>
  <c r="X18" i="7" s="1"/>
  <c r="Y18" i="7" s="1"/>
  <c r="Z18" i="7" s="1"/>
  <c r="R18" i="7"/>
  <c r="S18" i="7" s="1"/>
  <c r="T18" i="7" s="1"/>
  <c r="G18" i="7" s="1"/>
  <c r="J18" i="7" s="1"/>
  <c r="K18" i="7" s="1"/>
  <c r="M35" i="7"/>
  <c r="X35" i="7" s="1"/>
  <c r="Y35" i="7" s="1"/>
  <c r="Z35" i="7" s="1"/>
  <c r="R35" i="7"/>
  <c r="S35" i="7" s="1"/>
  <c r="T35" i="7" s="1"/>
  <c r="G35" i="7" s="1"/>
  <c r="J35" i="7" s="1"/>
  <c r="K35" i="7" s="1"/>
  <c r="R26" i="7"/>
  <c r="S26" i="7" s="1"/>
  <c r="T26" i="7" s="1"/>
  <c r="G26" i="7" s="1"/>
  <c r="J26" i="7" s="1"/>
  <c r="K26" i="7" s="1"/>
  <c r="L15" i="7"/>
  <c r="U15" i="7" s="1"/>
  <c r="V15" i="7" s="1"/>
  <c r="W15" i="7" s="1"/>
  <c r="R15" i="7"/>
  <c r="S15" i="7" s="1"/>
  <c r="T15" i="7" s="1"/>
  <c r="G15" i="7" s="1"/>
  <c r="J15" i="7" s="1"/>
  <c r="K15" i="7" s="1"/>
  <c r="M32" i="7"/>
  <c r="X32" i="7" s="1"/>
  <c r="Y32" i="7" s="1"/>
  <c r="Z32" i="7" s="1"/>
  <c r="R32" i="7"/>
  <c r="S32" i="7" s="1"/>
  <c r="T32" i="7" s="1"/>
  <c r="G32" i="7" s="1"/>
  <c r="J32" i="7" s="1"/>
  <c r="K32" i="7" s="1"/>
  <c r="R14" i="7"/>
  <c r="S14" i="7" s="1"/>
  <c r="T14" i="7" s="1"/>
  <c r="G14" i="7" s="1"/>
  <c r="J14" i="7" s="1"/>
  <c r="K14" i="7" s="1"/>
  <c r="R31" i="7"/>
  <c r="S31" i="7" s="1"/>
  <c r="T31" i="7" s="1"/>
  <c r="G31" i="7" s="1"/>
  <c r="J31" i="7" s="1"/>
  <c r="K31" i="7" s="1"/>
  <c r="L29" i="7"/>
  <c r="U29" i="7" s="1"/>
  <c r="V29" i="7" s="1"/>
  <c r="W29" i="7" s="1"/>
  <c r="L4" i="7"/>
  <c r="U4" i="7" s="1"/>
  <c r="V4" i="7" s="1"/>
  <c r="W4" i="7" s="1"/>
  <c r="M37" i="7"/>
  <c r="X37" i="7" s="1"/>
  <c r="Y37" i="7" s="1"/>
  <c r="Z37" i="7" s="1"/>
  <c r="L37" i="7"/>
  <c r="U37" i="7" s="1"/>
  <c r="V37" i="7" s="1"/>
  <c r="W37" i="7" s="1"/>
  <c r="M36" i="7"/>
  <c r="X36" i="7" s="1"/>
  <c r="Y36" i="7" s="1"/>
  <c r="Z36" i="7" s="1"/>
  <c r="L36" i="7"/>
  <c r="U36" i="7" s="1"/>
  <c r="V36" i="7" s="1"/>
  <c r="W36" i="7" s="1"/>
  <c r="M38" i="7"/>
  <c r="X38" i="7" s="1"/>
  <c r="Y38" i="7" s="1"/>
  <c r="Z38" i="7" s="1"/>
  <c r="L32" i="7"/>
  <c r="U32" i="7" s="1"/>
  <c r="V32" i="7" s="1"/>
  <c r="W32" i="7" s="1"/>
  <c r="L35" i="7"/>
  <c r="U35" i="7" s="1"/>
  <c r="V35" i="7" s="1"/>
  <c r="W35" i="7" s="1"/>
  <c r="M4" i="7"/>
  <c r="X4" i="7" s="1"/>
  <c r="Y4" i="7" s="1"/>
  <c r="Z4" i="7" s="1"/>
  <c r="L11" i="7"/>
  <c r="U11" i="7" s="1"/>
  <c r="V11" i="7" s="1"/>
  <c r="W11" i="7" s="1"/>
  <c r="M19" i="7"/>
  <c r="X19" i="7" s="1"/>
  <c r="Y19" i="7" s="1"/>
  <c r="Z19" i="7" s="1"/>
  <c r="M21" i="7"/>
  <c r="X21" i="7" s="1"/>
  <c r="Y21" i="7" s="1"/>
  <c r="Z21" i="7" s="1"/>
  <c r="M17" i="7"/>
  <c r="X17" i="7" s="1"/>
  <c r="Y17" i="7" s="1"/>
  <c r="Z17" i="7" s="1"/>
  <c r="M29" i="7"/>
  <c r="X29" i="7" s="1"/>
  <c r="Y29" i="7" s="1"/>
  <c r="Z29" i="7" s="1"/>
  <c r="M10" i="7"/>
  <c r="X10" i="7" s="1"/>
  <c r="Y10" i="7" s="1"/>
  <c r="Z10" i="7" s="1"/>
  <c r="L30" i="7"/>
  <c r="U30" i="7" s="1"/>
  <c r="V30" i="7" s="1"/>
  <c r="W30" i="7" s="1"/>
  <c r="M14" i="7"/>
  <c r="X14" i="7" s="1"/>
  <c r="Y14" i="7" s="1"/>
  <c r="Z14" i="7" s="1"/>
  <c r="L14" i="7"/>
  <c r="U14" i="7" s="1"/>
  <c r="V14" i="7" s="1"/>
  <c r="W14" i="7" s="1"/>
  <c r="L21" i="7"/>
  <c r="U21" i="7" s="1"/>
  <c r="V21" i="7" s="1"/>
  <c r="W21" i="7" s="1"/>
  <c r="L12" i="7"/>
  <c r="U12" i="7" s="1"/>
  <c r="V12" i="7" s="1"/>
  <c r="W12" i="7" s="1"/>
  <c r="M5" i="7"/>
  <c r="X5" i="7" s="1"/>
  <c r="Y5" i="7" s="1"/>
  <c r="Z5" i="7" s="1"/>
  <c r="L5" i="7"/>
  <c r="U5" i="7" s="1"/>
  <c r="V5" i="7" s="1"/>
  <c r="W5" i="7" s="1"/>
  <c r="M23" i="7"/>
  <c r="X23" i="7" s="1"/>
  <c r="Y23" i="7" s="1"/>
  <c r="Z23" i="7" s="1"/>
  <c r="M6" i="7"/>
  <c r="X6" i="7" s="1"/>
  <c r="Y6" i="7" s="1"/>
  <c r="Z6" i="7" s="1"/>
  <c r="L6" i="7"/>
  <c r="U6" i="7" s="1"/>
  <c r="V6" i="7" s="1"/>
  <c r="W6" i="7" s="1"/>
  <c r="L17" i="7"/>
  <c r="U17" i="7" s="1"/>
  <c r="V17" i="7" s="1"/>
  <c r="W17" i="7" s="1"/>
  <c r="M26" i="7"/>
  <c r="X26" i="7" s="1"/>
  <c r="Y26" i="7" s="1"/>
  <c r="Z26" i="7" s="1"/>
  <c r="L26" i="7"/>
  <c r="U26" i="7" s="1"/>
  <c r="V26" i="7" s="1"/>
  <c r="W26" i="7" s="1"/>
  <c r="M33" i="7"/>
  <c r="X33" i="7" s="1"/>
  <c r="Y33" i="7" s="1"/>
  <c r="Z33" i="7" s="1"/>
  <c r="M20" i="7"/>
  <c r="X20" i="7" s="1"/>
  <c r="Y20" i="7" s="1"/>
  <c r="Z20" i="7" s="1"/>
  <c r="L20" i="7"/>
  <c r="U20" i="7" s="1"/>
  <c r="V20" i="7" s="1"/>
  <c r="W20" i="7" s="1"/>
  <c r="L19" i="7"/>
  <c r="U19" i="7" s="1"/>
  <c r="V19" i="7" s="1"/>
  <c r="W19" i="7" s="1"/>
  <c r="L24" i="7"/>
  <c r="U24" i="7" s="1"/>
  <c r="V24" i="7" s="1"/>
  <c r="W24" i="7" s="1"/>
  <c r="M31" i="7"/>
  <c r="X31" i="7" s="1"/>
  <c r="Y31" i="7" s="1"/>
  <c r="Z31" i="7" s="1"/>
  <c r="M28" i="7"/>
  <c r="X28" i="7" s="1"/>
  <c r="Y28" i="7" s="1"/>
  <c r="Z28" i="7" s="1"/>
  <c r="L31" i="7"/>
  <c r="U31" i="7" s="1"/>
  <c r="V31" i="7" s="1"/>
  <c r="W31" i="7" s="1"/>
  <c r="L18" i="7"/>
  <c r="U18" i="7" s="1"/>
  <c r="V18" i="7" s="1"/>
  <c r="W18" i="7" s="1"/>
  <c r="M34" i="7"/>
  <c r="X34" i="7" s="1"/>
  <c r="Y34" i="7" s="1"/>
  <c r="Z34" i="7" s="1"/>
  <c r="L34" i="7"/>
  <c r="U34" i="7" s="1"/>
  <c r="V34" i="7" s="1"/>
  <c r="W34" i="7" s="1"/>
  <c r="L10" i="7"/>
  <c r="U10" i="7" s="1"/>
  <c r="V10" i="7" s="1"/>
  <c r="W10" i="7" s="1"/>
  <c r="M8" i="7"/>
  <c r="X8" i="7" s="1"/>
  <c r="Y8" i="7" s="1"/>
  <c r="Z8" i="7" s="1"/>
  <c r="L23" i="7"/>
  <c r="U23" i="7" s="1"/>
  <c r="V23" i="7" s="1"/>
  <c r="W23" i="7" s="1"/>
  <c r="M16" i="7"/>
  <c r="X16" i="7" s="1"/>
  <c r="Y16" i="7" s="1"/>
  <c r="Z16" i="7" s="1"/>
  <c r="L8" i="7"/>
  <c r="U8" i="7" s="1"/>
  <c r="V8" i="7" s="1"/>
  <c r="W8" i="7" s="1"/>
  <c r="L16" i="7"/>
  <c r="U16" i="7" s="1"/>
  <c r="V16" i="7" s="1"/>
  <c r="W16" i="7" s="1"/>
  <c r="M9" i="7"/>
  <c r="X9" i="7" s="1"/>
  <c r="Y9" i="7" s="1"/>
  <c r="Z9" i="7" s="1"/>
  <c r="M27" i="7"/>
  <c r="X27" i="7" s="1"/>
  <c r="Y27" i="7" s="1"/>
  <c r="Z27" i="7" s="1"/>
  <c r="M11" i="7"/>
  <c r="X11" i="7" s="1"/>
  <c r="Y11" i="7" s="1"/>
  <c r="Z11" i="7" s="1"/>
  <c r="M13" i="7"/>
  <c r="X13" i="7" s="1"/>
  <c r="Y13" i="7" s="1"/>
  <c r="Z13" i="7" s="1"/>
  <c r="M22" i="7"/>
  <c r="X22" i="7" s="1"/>
  <c r="Y22" i="7" s="1"/>
  <c r="Z22" i="7" s="1"/>
  <c r="L13" i="7"/>
  <c r="U13" i="7" s="1"/>
  <c r="V13" i="7" s="1"/>
  <c r="W13" i="7" s="1"/>
  <c r="M7" i="7"/>
  <c r="X7" i="7" s="1"/>
  <c r="Y7" i="7" s="1"/>
  <c r="Z7" i="7" s="1"/>
  <c r="M15" i="7"/>
  <c r="X15" i="7" s="1"/>
  <c r="Y15" i="7" s="1"/>
  <c r="Z15" i="7" s="1"/>
  <c r="AA24" i="7" l="1"/>
  <c r="N24" i="7" s="1"/>
  <c r="AA34" i="7"/>
  <c r="N34" i="7" s="1"/>
  <c r="AA20" i="7"/>
  <c r="N20" i="7" s="1"/>
  <c r="O20" i="7" s="1"/>
  <c r="AA30" i="7"/>
  <c r="N30" i="7" s="1"/>
  <c r="O30" i="7" s="1"/>
  <c r="AA19" i="7"/>
  <c r="N19" i="7" s="1"/>
  <c r="O19" i="7" s="1"/>
  <c r="AA13" i="7"/>
  <c r="N13" i="7" s="1"/>
  <c r="AA37" i="7"/>
  <c r="N37" i="7" s="1"/>
  <c r="O37" i="7" s="1"/>
  <c r="AA29" i="7"/>
  <c r="N29" i="7" s="1"/>
  <c r="O29" i="7" s="1"/>
  <c r="AA23" i="7"/>
  <c r="N23" i="7" s="1"/>
  <c r="AA14" i="7"/>
  <c r="N14" i="7" s="1"/>
  <c r="O14" i="7" s="1"/>
  <c r="AA35" i="7"/>
  <c r="N35" i="7" s="1"/>
  <c r="AA32" i="7"/>
  <c r="N32" i="7" s="1"/>
  <c r="O32" i="7" s="1"/>
  <c r="AA18" i="7"/>
  <c r="N18" i="7" s="1"/>
  <c r="O18" i="7" s="1"/>
  <c r="AA31" i="7"/>
  <c r="N31" i="7" s="1"/>
  <c r="O31" i="7" s="1"/>
  <c r="AA6" i="7"/>
  <c r="N6" i="7" s="1"/>
  <c r="O6" i="7" s="1"/>
  <c r="AA9" i="7"/>
  <c r="N9" i="7" s="1"/>
  <c r="G39" i="7"/>
  <c r="AA27" i="7"/>
  <c r="N27" i="7" s="1"/>
  <c r="AA16" i="7"/>
  <c r="N16" i="7" s="1"/>
  <c r="O16" i="7" s="1"/>
  <c r="AA7" i="7"/>
  <c r="N7" i="7" s="1"/>
  <c r="O7" i="7" s="1"/>
  <c r="AA5" i="7"/>
  <c r="N5" i="7" s="1"/>
  <c r="AA22" i="7"/>
  <c r="N22" i="7" s="1"/>
  <c r="O22" i="7" s="1"/>
  <c r="AA8" i="7"/>
  <c r="N8" i="7" s="1"/>
  <c r="O8" i="7" s="1"/>
  <c r="AA36" i="7"/>
  <c r="N36" i="7" s="1"/>
  <c r="O36" i="7" s="1"/>
  <c r="AA15" i="7"/>
  <c r="N15" i="7" s="1"/>
  <c r="AA28" i="7"/>
  <c r="N28" i="7" s="1"/>
  <c r="AA12" i="7"/>
  <c r="N12" i="7" s="1"/>
  <c r="O12" i="7" s="1"/>
  <c r="AA21" i="7"/>
  <c r="N21" i="7" s="1"/>
  <c r="O21" i="7" s="1"/>
  <c r="AA38" i="7"/>
  <c r="N38" i="7" s="1"/>
  <c r="O38" i="7" s="1"/>
  <c r="AA10" i="7"/>
  <c r="N10" i="7" s="1"/>
  <c r="O10" i="7" s="1"/>
  <c r="J9" i="7"/>
  <c r="K9" i="7" s="1"/>
  <c r="AA4" i="7"/>
  <c r="N4" i="7" s="1"/>
  <c r="AA26" i="7"/>
  <c r="N26" i="7" s="1"/>
  <c r="O26" i="7" s="1"/>
  <c r="AA11" i="7"/>
  <c r="N11" i="7" s="1"/>
  <c r="AA33" i="7"/>
  <c r="N33" i="7" s="1"/>
  <c r="O33" i="7" s="1"/>
  <c r="AA17" i="7"/>
  <c r="N17" i="7" s="1"/>
  <c r="O17" i="7" s="1"/>
  <c r="O34" i="7"/>
  <c r="O35" i="7"/>
  <c r="J13" i="7"/>
  <c r="K13" i="7" s="1"/>
  <c r="O11" i="7"/>
  <c r="L39" i="7"/>
  <c r="M39" i="7"/>
  <c r="O28" i="7"/>
  <c r="O23" i="7"/>
  <c r="O27" i="7"/>
  <c r="O5" i="7"/>
  <c r="O15" i="7"/>
  <c r="O24" i="7"/>
  <c r="N39" i="7" l="1"/>
  <c r="O9" i="7"/>
  <c r="O13" i="7"/>
  <c r="C3" i="5" a="1"/>
  <c r="I4" i="5" s="1" a="1"/>
  <c r="I4" i="5" s="1"/>
  <c r="X15" i="5" s="1"/>
  <c r="H4" i="5" l="1" a="1"/>
  <c r="H4" i="5" s="1"/>
  <c r="W15" i="5" s="1"/>
  <c r="G4" i="5" a="1"/>
  <c r="G4" i="5" s="1"/>
  <c r="V15" i="5" s="1"/>
  <c r="F4" i="5" a="1"/>
  <c r="F4" i="5" s="1"/>
  <c r="U15" i="5" s="1"/>
  <c r="B4" i="5" a="1"/>
  <c r="E4" i="5" a="1"/>
  <c r="E4" i="5" s="1"/>
  <c r="T15" i="5" s="1"/>
  <c r="C3" i="5"/>
  <c r="C4" i="5" s="1" a="1"/>
  <c r="C4" i="5" s="1"/>
  <c r="D4" i="5" a="1"/>
  <c r="D4" i="5" s="1"/>
  <c r="C15" i="7" l="1"/>
  <c r="P15" i="7" s="1"/>
  <c r="C5" i="7"/>
  <c r="P5" i="7" s="1"/>
  <c r="C9" i="7"/>
  <c r="P9" i="7" s="1"/>
  <c r="C35" i="7"/>
  <c r="P35" i="7" s="1"/>
  <c r="C25" i="7"/>
  <c r="P25" i="7" s="1"/>
  <c r="C10" i="7"/>
  <c r="P10" i="7" s="1"/>
  <c r="C30" i="7"/>
  <c r="P30" i="7" s="1"/>
  <c r="C11" i="7"/>
  <c r="P11" i="7" s="1"/>
  <c r="C12" i="7"/>
  <c r="P12" i="7" s="1"/>
  <c r="C34" i="7"/>
  <c r="P34" i="7" s="1"/>
  <c r="C13" i="7"/>
  <c r="P13" i="7" s="1"/>
  <c r="C17" i="7"/>
  <c r="P17" i="7" s="1"/>
  <c r="C6" i="7"/>
  <c r="P6" i="7" s="1"/>
  <c r="C36" i="7"/>
  <c r="P36" i="7" s="1"/>
  <c r="C26" i="7"/>
  <c r="P26" i="7" s="1"/>
  <c r="C16" i="7"/>
  <c r="P16" i="7" s="1"/>
  <c r="C31" i="7"/>
  <c r="P31" i="7" s="1"/>
  <c r="C18" i="7"/>
  <c r="P18" i="7" s="1"/>
  <c r="C7" i="7"/>
  <c r="P7" i="7" s="1"/>
  <c r="C37" i="7"/>
  <c r="P37" i="7" s="1"/>
  <c r="C27" i="7"/>
  <c r="P27" i="7" s="1"/>
  <c r="C20" i="7"/>
  <c r="P20" i="7" s="1"/>
  <c r="C32" i="7"/>
  <c r="P32" i="7" s="1"/>
  <c r="C22" i="7"/>
  <c r="P22" i="7" s="1"/>
  <c r="C8" i="7"/>
  <c r="P8" i="7" s="1"/>
  <c r="C19" i="7"/>
  <c r="P19" i="7" s="1"/>
  <c r="C28" i="7"/>
  <c r="P28" i="7" s="1"/>
  <c r="C38" i="7"/>
  <c r="P38" i="7" s="1"/>
  <c r="C14" i="7"/>
  <c r="P14" i="7" s="1"/>
  <c r="C21" i="7"/>
  <c r="P21" i="7" s="1"/>
  <c r="C33" i="7"/>
  <c r="P33" i="7" s="1"/>
  <c r="C23" i="7"/>
  <c r="P23" i="7" s="1"/>
  <c r="C29" i="7"/>
  <c r="P29" i="7" s="1"/>
  <c r="C24" i="7"/>
  <c r="P24" i="7" s="1"/>
  <c r="B4" i="5"/>
  <c r="C4" i="7" s="1"/>
  <c r="S15" i="5"/>
  <c r="C39" i="7" l="1"/>
  <c r="R15" i="5"/>
  <c r="Y15" i="5" s="1"/>
  <c r="J39" i="7" l="1"/>
  <c r="K4" i="7" l="1"/>
  <c r="O4" i="7" l="1"/>
  <c r="K39" i="7"/>
  <c r="P4" i="7" l="1"/>
  <c r="P39" i="7" s="1"/>
  <c r="O39"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<sst xmlns="http://schemas.openxmlformats.org/spreadsheetml/2006/main" count="4170" uniqueCount="431">
  <si>
    <t>) DADOS DA SOLICITAÇÃO</t>
  </si>
  <si>
    <t>Identificação do órgão ou entidade a ser atendido</t>
  </si>
  <si>
    <t>Código SIORG</t>
  </si>
  <si>
    <t>Ministério da Defesa</t>
  </si>
  <si>
    <t>Comando da Aeronáutica</t>
  </si>
  <si>
    <t>Academia da Força Aérea</t>
  </si>
  <si>
    <t>Quadro-resumo da demanda</t>
  </si>
  <si>
    <t>Impacto Orçamentário Anual</t>
  </si>
  <si>
    <t>Cargo</t>
  </si>
  <si>
    <t>Remuneração</t>
  </si>
  <si>
    <t>Qtd</t>
  </si>
  <si>
    <t>Bibliotecário</t>
  </si>
  <si>
    <t>Nutricionista</t>
  </si>
  <si>
    <t>Professor Magistério Superior</t>
  </si>
  <si>
    <t>Advogado</t>
  </si>
  <si>
    <t>Médico Oftalmologista</t>
  </si>
  <si>
    <t>Médico Urologista</t>
  </si>
  <si>
    <t>Médico Psiquiatra</t>
  </si>
  <si>
    <t>Médico Pediatra</t>
  </si>
  <si>
    <t>Médico Anestesiologista</t>
  </si>
  <si>
    <t>Terapeuta Ocupacional</t>
  </si>
  <si>
    <t>Técnico em Radiologia</t>
  </si>
  <si>
    <t>Contador</t>
  </si>
  <si>
    <t>Pedagogo</t>
  </si>
  <si>
    <t>Administrador</t>
  </si>
  <si>
    <t>Engenheiro Civil</t>
  </si>
  <si>
    <t>Engenheiro Eletricista</t>
  </si>
  <si>
    <t>Técnico em Informática</t>
  </si>
  <si>
    <t>Motorista Oficial Categoria D</t>
  </si>
  <si>
    <t>Soldador</t>
  </si>
  <si>
    <t>Agente Administrativo</t>
  </si>
  <si>
    <t>Carpinteiro</t>
  </si>
  <si>
    <t>Pintor</t>
  </si>
  <si>
    <t>Técnico em Refrigeração</t>
  </si>
  <si>
    <t>Cozinheiro</t>
  </si>
  <si>
    <t>Agente de Portaria</t>
  </si>
  <si>
    <t>Telhadista</t>
  </si>
  <si>
    <t>Pedreiro</t>
  </si>
  <si>
    <t>Hidraulista</t>
  </si>
  <si>
    <t>Eletricista</t>
  </si>
  <si>
    <t>Total</t>
  </si>
  <si>
    <r>
      <t xml:space="preserve"> </t>
    </r>
    <r>
      <rPr>
        <b/>
        <sz val="12"/>
        <color rgb="FF000000"/>
        <rFont val="Times New Roman"/>
        <family val="1"/>
      </rPr>
      <t>IMPACTO ORÇAMENTÁRIO E FINANCEIRO - AFA</t>
    </r>
  </si>
  <si>
    <t>Parâmetros para cálculo do impacto orçamentário com pessoal</t>
  </si>
  <si>
    <t>(Memória de Cálculo)</t>
  </si>
  <si>
    <t>PROFISSIONAIS</t>
  </si>
  <si>
    <t>NÍVEL</t>
  </si>
  <si>
    <t>QTD</t>
  </si>
  <si>
    <t>VENC BÁSICO</t>
  </si>
  <si>
    <t>GDPGPE</t>
  </si>
  <si>
    <t>REMUN INDIV</t>
  </si>
  <si>
    <t xml:space="preserve">ENC. SOCIAIS/A </t>
  </si>
  <si>
    <t>AUX ALIM</t>
  </si>
  <si>
    <t>AUX TRANS</t>
  </si>
  <si>
    <t>CUSTO MENSAL</t>
  </si>
  <si>
    <t>CUSTO 09 MESES</t>
  </si>
  <si>
    <t>GRAT. NATALINA</t>
  </si>
  <si>
    <t>AD. FÉRIAS</t>
  </si>
  <si>
    <t xml:space="preserve">ENC. SOCIAIS/B </t>
  </si>
  <si>
    <t>CUSTO ANUAL INDIV</t>
  </si>
  <si>
    <t>CUSTO ANUAL TOTAL</t>
  </si>
  <si>
    <t>A</t>
  </si>
  <si>
    <t>B</t>
  </si>
  <si>
    <t>C</t>
  </si>
  <si>
    <t>(B+C) D</t>
  </si>
  <si>
    <t>E</t>
  </si>
  <si>
    <t>F</t>
  </si>
  <si>
    <t>G</t>
  </si>
  <si>
    <t>(D+E+F+G)</t>
  </si>
  <si>
    <t>(H*09)</t>
  </si>
  <si>
    <t>(D) J</t>
  </si>
  <si>
    <t>(D/3) K</t>
  </si>
  <si>
    <t>L</t>
  </si>
  <si>
    <t>(I+J+K+L) M</t>
  </si>
  <si>
    <t>(A*M) N</t>
  </si>
  <si>
    <t>H</t>
  </si>
  <si>
    <t>I</t>
  </si>
  <si>
    <t>NS</t>
  </si>
  <si>
    <t>-</t>
  </si>
  <si>
    <t>TOTAL</t>
  </si>
  <si>
    <t>CUSTO09 MESES</t>
  </si>
  <si>
    <t>RT</t>
  </si>
  <si>
    <t>Professor AUXILIAR</t>
  </si>
  <si>
    <t>NI</t>
  </si>
  <si>
    <t>Motorista Oficial</t>
  </si>
  <si>
    <t xml:space="preserve"> Categoria D</t>
  </si>
  <si>
    <t>ENC. SOCIAIS/A</t>
  </si>
  <si>
    <t>PREVISÃO ORÇAMENTÁRIA 2026 (ABR A DEZ)</t>
  </si>
  <si>
    <t>IMPACTO ORÇAMENTÁRIO E FINANCEIRO - AFA</t>
  </si>
  <si>
    <t>CUSTO 12 MESES</t>
  </si>
  <si>
    <t>(H*12)</t>
  </si>
  <si>
    <t>CUSTO TOTAL</t>
  </si>
  <si>
    <t>Engenheiro Elétricista</t>
  </si>
  <si>
    <t>Técnico de Refrigeração</t>
  </si>
  <si>
    <t>(D/3 K</t>
  </si>
  <si>
    <t>OBSERVAÇÃO: ENQUADRAMENTO UTILIZADO PROFESSOR ADJUNTO-A (DOUTOR), E NO REGIME DE DEDICAÇÃO EXCLUSIVA, CONFORME TABELA DE REMUNERAÇÃO DOS SERVIDORES PÚBLICOS FEDERAIS.</t>
  </si>
  <si>
    <t>PREVISÃO ORÇAMENTÁRIA</t>
  </si>
  <si>
    <t>ANO</t>
  </si>
  <si>
    <t>CUSTO ANUAL</t>
  </si>
  <si>
    <t>PREVISÃO ORÇAMENTÁRIA 2027 (JAN A DEZ)</t>
  </si>
  <si>
    <t>PREVISÃO ORÇAMENTÁRIA 2028 (JAN A DEZ)</t>
  </si>
  <si>
    <r>
      <t>*</t>
    </r>
    <r>
      <rPr>
        <sz val="12"/>
        <color rgb="FF000000"/>
        <rFont val="Times New Roman"/>
        <family val="1"/>
      </rPr>
      <t xml:space="preserve"> A previsão orçamentária dos anos de 2027 e 2028 estão iguais pois até a presente data não existe previsão de aumento salarial.</t>
    </r>
  </si>
  <si>
    <t>OM</t>
  </si>
  <si>
    <t>AFA</t>
  </si>
  <si>
    <t>CARGOS</t>
  </si>
  <si>
    <t>EPCAR</t>
  </si>
  <si>
    <t>Técnico em Assuntos Educacionais</t>
  </si>
  <si>
    <t>Psicólogo</t>
  </si>
  <si>
    <t>Atuar na área de Psicologia Educacional da Escola Preparatória de Cadetes do Ar.</t>
  </si>
  <si>
    <t>Avaliação, acompanhamento e suporte emocional a pacientes, suprindo demanda existente e garantindo vínculo com usuários.</t>
  </si>
  <si>
    <t>Estatístico</t>
  </si>
  <si>
    <t>Administrador Hospitalar</t>
  </si>
  <si>
    <t>Assistente Social</t>
  </si>
  <si>
    <t>Arquivista</t>
  </si>
  <si>
    <t>Atuar no planejamento, organização, supervisão e avaliação da Unidade de Alimentação e Nutrição da EPCAR, assegurando a qualidade nutricional, a segurança alimentar e a gestão de processos produtivos em serviços de alimentação coletiva, com foco em eficiência, sustentabilidade e promoção da saúde.</t>
  </si>
  <si>
    <t>Planejamento e acompanhamento de dietas terapêuticas, promovendo assistência nutricional integral e vínculo com usuários.</t>
  </si>
  <si>
    <t>Arquiteto</t>
  </si>
  <si>
    <t>Engenheiro de Segurança do Trabalho</t>
  </si>
  <si>
    <t>Enfermeiro</t>
  </si>
  <si>
    <t>Fisioterapeuta</t>
  </si>
  <si>
    <t>Fonoaudiólogo</t>
  </si>
  <si>
    <t>Médico do Trabalho</t>
  </si>
  <si>
    <t>Farmacêutico Bioquímico</t>
  </si>
  <si>
    <t>Técnico de Laboratório</t>
  </si>
  <si>
    <t>Técnico em Enfermagem</t>
  </si>
  <si>
    <t>Analista de Tecnologia da Informação</t>
  </si>
  <si>
    <t>EEAR</t>
  </si>
  <si>
    <t>CBNB</t>
  </si>
  <si>
    <t>FILTRO DE QUANTIDADE</t>
  </si>
  <si>
    <t>APERTE AQUI</t>
  </si>
  <si>
    <t>NI SIGNFICA NÍVEL INTERMEDIÁRIO</t>
  </si>
  <si>
    <t>LEGENDA</t>
  </si>
  <si>
    <t>NS SIGNFICA NÍVEL SUPERIOR</t>
  </si>
  <si>
    <t>TODOS</t>
  </si>
  <si>
    <t>Analista Técnico Administrativo</t>
  </si>
  <si>
    <t>Auxiliar Assuntos Educacionais</t>
  </si>
  <si>
    <t>REQUESITOS</t>
  </si>
  <si>
    <t>Licenciatura em Educação Física, realizada em instituição reconhecida pelo MEC. Conhecimento técnico em diferentes modalidades esportivas.</t>
  </si>
  <si>
    <t>Licenciatura em Matemática, realizada em instituição reconhecida pelo MEC.</t>
  </si>
  <si>
    <t>Licenciatura em Física, realizada em instituição reconhecida pelo MEC.</t>
  </si>
  <si>
    <t>ATIVIDADE</t>
  </si>
  <si>
    <t>Fornecer suporte administrativo nas áreas de administração, recursos humanos, financeiro, logística. Gestão de documentos, organização de arquivos, atendimento ao público, controle de estoque, gestão de contas, organização de agendas, expedição de documentos e certidões, protocolo e arquivamento de processos, gerenciamento de rotinas de compras e licitações.</t>
  </si>
  <si>
    <t>Organizar, gerenciar e facilitar o acesso à informação em bibliotecas e centros de documentação. Exercer atividades de catalogação, classificação e indexação de livros, revistas, periódicos, documentos digitais e outros tipos de materiais, garantindo que os usuários possam encontrar as informações de forma rápida e eficiente.</t>
  </si>
  <si>
    <t>Possuir diploma de graduação em Biblioteconomia, devidamente registrado, reconhecido ou revalidado pelo MEC.</t>
  </si>
  <si>
    <t>Docência em Tecnologia da Informação, Sistemas de Informação, Cibernética.</t>
  </si>
  <si>
    <t>Possuir diploma, devidamente registrado, reconhecido ou revalidado pelo MEC, de conclusão de curso superior em Administração, Engenharia de Produção ou áreas afins, ou diploma de pós-graduação stricto sensu, nível de doutorado, em Administração, Recursos Humanos ou Engenharia de Produção, devidamente registrado, reconhecido ou revalidado pelo MEC.</t>
  </si>
  <si>
    <t>Possuir diploma, devidamente registrado, reconhecido ou revalidado pelo MEC, de conclusão de curso superior em Economia, Administração, Administração Pública ou Contabilidade, e diploma de pós-graduação stricto sensu, nível de doutorado, em Administração ou Administração Pública, devidamente registrado, reconhecido ou revalidado pelo MEC.</t>
  </si>
  <si>
    <t>Possuir diploma, devidamente registrado, reconhecido ou revalidado pelo MEC, de conclusão de curso superior em Engenharia ou em Administração, e diploma de pós-graduação stricto sensu, nível de doutorado, em Engenharia ou Administração, devidamente registrado, reconhecido ou revalidado pelo MEC.</t>
  </si>
  <si>
    <t>Possuir diploma, devidamente registrado, reconhecido ou revalidado pelo MEC, de conclusão de curso superior em Logística, Engenharia ou Administração, e diploma de pós-graduação stricto sensu, nível de doutorado, em Logística, Engenharia ou Administração, devidamente registrado, reconhecido ou revalidado pelo MEC.</t>
  </si>
  <si>
    <t>Possuir diploma, devidamente registrado, reconhecido ou revalidado pelo MEC, de conclusão de curso superior em Contabilidade, Engenharia de Produção ou Administração, e diploma de pós-graduação stricto sensu, nível de doutorado, em Contabilidade, Engenharia de Produção ou Administração, devidamente registrado, reconhecido ou revalidado pelo MEC.</t>
  </si>
  <si>
    <t>Docência em Filosofia</t>
  </si>
  <si>
    <t>Diploma, devidamente registrado, de conclusão de curso superior, em nível de graduação, fornecido por instituição de ensino credenciada pelo MEC, com doutorado em Administração Pública ou em área afim, em curso reconhecido pelo MEC ou em curso realizado no exterior, devidamente revalidado.</t>
  </si>
  <si>
    <t>Graduação em Terapia Ocupacional, com certificação reconhecida pelo MEC. Registro no respectivo Conselho da Classe.</t>
  </si>
  <si>
    <t>Atuar na área de Radiologia nas dependências da AFA.</t>
  </si>
  <si>
    <t>Possuir diploma, devidamente registrado, de curso nível médio ou técnico, em administração, recursos humanos ou outro equivalente, reconhecido pelo Ministério da Educação, Secretarias ou Conselhos Estaduais de Educação.</t>
  </si>
  <si>
    <t>Licenciatura em Química, realizada em instituição reconhecida pelo MEC.</t>
  </si>
  <si>
    <t>Licenciatura em Ciências Biológicas ou em Biologia, realizada em instituição reconhecida pelo MEC.</t>
  </si>
  <si>
    <t>Docência em Pedagogia</t>
  </si>
  <si>
    <t>Graduação em Licenciatura em Pedagogia, realizada em Instituição reconhecida pelo MEC.</t>
  </si>
  <si>
    <t>Docência em Pedagogia com especialização em Psicopedagogia</t>
  </si>
  <si>
    <t>Graduação em Licenciatura em Pedagogia e e especialização em psicopedagogia, realizada em Instituição reconhecida pelo MEC.</t>
  </si>
  <si>
    <t>Graduação Licenciatura em Filosofia, realizada em Instituição reconhecida pelo MEC.</t>
  </si>
  <si>
    <t>Docência em Artes</t>
  </si>
  <si>
    <t>Graduação Licenciatura em Artes, realizada em Instituição reconhecida pelo MEC.</t>
  </si>
  <si>
    <t>Atuar na interface aluno-família-escola-rede de apoio, identificando vulnerabilidades e promovendo a inclusão social e educacional.</t>
  </si>
  <si>
    <t>Graduação em Serviço Social (com registro no CRESS), realizada em Instituição reconhecida pelo MEC.</t>
  </si>
  <si>
    <t>Suporte psicológico aos alunos, avaliação e intervenção em questões de aprendizagem e comportamento, orientação familiar.</t>
  </si>
  <si>
    <t>Graduação em Psicologia (com registro no CRP), realizada em Instituição reconhecida pelo MEC.</t>
  </si>
  <si>
    <t xml:space="preserve">organizar, preservar e disseminar o conhecimento e a informação, garantindo o acesso a acervos físicos e digitais. Isso inclui catalogar materiais, orientar usuários em suas pesquisas, desenvolver programas de leitura e cultura, e gerir sistemas de informação. </t>
  </si>
  <si>
    <t>Atuação junto às demandas de gestão de pessoal; assessoramento administrativo junto à equipe da Direção; participação em auditorias; elaboração de demonstrativos, planilhas, relatórios e pedidos solicitados pelos órgãos de controle interno e externo</t>
  </si>
  <si>
    <t>Graduação em Administração, realizada em Instituição reconhecida pelo MEC. Com registro no respectivo Conselho 
da Classe.</t>
  </si>
  <si>
    <t>Atuação na implementação, coordenação e gerenciamentos dos hardwares e softwares utilizados pelo SISAU; gerenciar o funcionamento das redes de INTRAER e INTERNET das unidades; atuar nos projetos de implementação de software no SISAU, bem como nos sistemas que envolve a área educacional.</t>
  </si>
  <si>
    <t>Graduação em Informática, Análise de 
Sistemas, Tecnologia de Informação ou 
Engenharia da Computação, registrado e 
reconhecido pelo MEC, com registro no 
respectivo Conselho da Classe.</t>
  </si>
  <si>
    <t>ECE</t>
  </si>
  <si>
    <t>Atuar como médico anestesiologista na unidade de saúde da EPCAR.</t>
  </si>
  <si>
    <t>Professor da Carreira do Magistério Superior</t>
  </si>
  <si>
    <t>Professor da Carreira de Magistério do EBTT</t>
  </si>
  <si>
    <t>Ministrar aulas, coordenar grupos de pesquisa, orientar alunos de pós-graduação stricto sensu, participar, propor e supervisionar pesquisas em, pelo menos, uma das seguintes Linhas de Pesquisa do PPGDHO/UNIFA: Aplicação, Correção, Validação e Construção de Testes Psicométricos e Projetivos.</t>
  </si>
  <si>
    <t>Ministrar aulas, coordenar grupos de pesquisa, orientar alunos de pós-graduação stricto sensu, participar, propor e supervisionar pesquisas em, pelo menos, uma das seguintes Linhas de Pesquisa do PPGDHO/UNIFA: regulação do desempenho físico a partir de respostas neuropsicológicas e eletrofisiológicas.</t>
  </si>
  <si>
    <t>Ministrar aulas, orientar alunos de pós-graduação stricto sensu, participar, propor e supervisionar pesquisas, eventos e publicações, em conformidade com a Área de Concentração do PPGCA/UNIFA: “Poder Aeroespacial e Pensamento Político-Estratégico Contemporâneo” e as Linhas de Pesquisa: “Poder Aeroespacial Brasileiro, Segurança e Defesa” e “Relação entre Estados, Pensamento Estratégico Contemporâneo e Poder Aeroespacial”.</t>
  </si>
  <si>
    <t>Doutorado em Programa reconhecido pela CAPES, em Ciência Política ou Políticas Públicas ou Ciências Sociais com ênfase ou linha de pesquisa em Ciência Política ou Políticas Públicas.</t>
  </si>
  <si>
    <t>Doutorado em Programa reconhecido pela CAPES, em Relações Internacionais ou Ciência Política com ênfase ou linha de pesquisa em Relações Internacionais ou Política Internacional.</t>
  </si>
  <si>
    <t>UNIFA</t>
  </si>
  <si>
    <t>Graduação: Bacharel em Psicologia.
Doutorado: na grande área da saúde, em programa reconhecido pela CAPES.</t>
  </si>
  <si>
    <t>Graduação: Educação Física (licenciatura ou bacharelado) ou em Fisioterapia ou em Medicina.
Doutorado: na grande área da saúde, em programa reconhecido pela CAPES.</t>
  </si>
  <si>
    <t>Ministrar aulas, orientar alunos de pós-graduação stricto sensu, participar, propor e supervisionar pesquisas, eventos e publicações na Área de Concentração do PPGCA/CEE (UNIFA), em “Poder Aeroespacial e Pensamento Político-Estratégico Contemporâneo” e “Estudos Estratégicos”. Participar de seminários, reuniões, grupos de pesquisa e comissões gerenciais e acadêmicas envolvendo ensino, pesquisa, extensão e inovação.</t>
  </si>
  <si>
    <t>Doutorado em Programa reconhecido pela CAPES, na área de Ciências Humanas ou Ciências Sociais Aplicadas com ênfase ou linha de pesquisa em Estudos Estratégicos.</t>
  </si>
  <si>
    <t>Ministrar aulas e cursos, participar, propor e supervisionar as atividades de ensino inerentes ao Centro de Idiomas (CID). Orientar alunos, executar projetos de pesquisa, traduzir, revisar e verter artigos e documentos, propor e coordenar eventos da área. Participar de reuniões, grupos de pesquisa e comissões gerenciais e pedagógicas envolvendo ensino, pesquisa, extensão e inovação.</t>
  </si>
  <si>
    <t>Graduação em Letras, Língua Inglesa, ou Letras, Língua Inglesa-Portuguesa (dupla habilitação).
Mestrado em Programa reconhecido pela CAPES, na área Linguística, Letras e Artes, Língua Inglesa.</t>
  </si>
  <si>
    <t>Graduação em Letras, Língua Espanhola, ou Letras, Língua Espanhola-Portuguesa (dupla habilitação).
Mestrado em Programa reconhecido pela CAPES, na área Linguística, Letras e Artes, Língua Espanhola.</t>
  </si>
  <si>
    <t>Graduação em Letras, Língua Inglesa, ou Letras, Língua Inglesa-Portuguesa (dupla habilitação).
Especialização Lato Sensu em Programa oferecido por Instituição de Ensino Superior (IES) credenciada pelo Ministério da Educação (MEC), na área Linguística, Letras e Artes, Língua Inglesa.</t>
  </si>
  <si>
    <t>Graduação em Letras, Língua Espanhola, ou Letras, Língua Espanhola-Portuguesa (dupla habilitação).
Especialização Lato Sensu em Programa oferecido por Instituição de Ensino Superior (IES) credenciada pelo Ministério da Educação (MEC), na área Linguística, Letras e Artes, Língua Espanhola.</t>
  </si>
  <si>
    <t>Técnico-Administrativo em Educação</t>
  </si>
  <si>
    <t>Assessorar, planejar, executar e controlar as atividades inerentes à preservação da memória do ensino da aviação militar e do patrimônio histórico institucional da aeronáutica, além da proposição e elaboração de projetos de preservação da história, da memória e do patrimônio histórico da UNIFA. Assessorar nas atividades de ensino, pesquisa, extensão e inovação.</t>
  </si>
  <si>
    <t>Diploma ou certificado de conclusão de curso de Graduação em História, devidamente registrado, fornecido por Instituição de Ensino Superior (IES) reconhecida pelo Ministério da Educação (MEC). Experiência profissional comprovada em atividades relacionadas a Centros de Memória e/ou Museus e Arquivos.</t>
  </si>
  <si>
    <t>Graduação em Biblioteconomia, realizada em Instituição reconhecida pelo MEC.</t>
  </si>
  <si>
    <t>Planejar, direcionar, coordenar e supervisionar os trabalhos relativos ao setor da Assessoria Jurídica, no que se refere às demandas jurídicas internas e externas e aos respectivos despachos junto ao CEMAER. Tratar dos assuntos relativos ao Direito Internacional dos Conflitos Armados (DICA) e do Direito Espacial, do COMAER.</t>
  </si>
  <si>
    <t>Graduação em Direito, com pós-graduação em latu-sensu em Direito, emitidos por instituição reconhecida pelo MEC. Registro profissional na OAB. Experiência jurídica, mínima, de 3 anos.</t>
  </si>
  <si>
    <t>Preparar demonstrativos, responder a relatórios e pedidos solicitados pelos órgãos de controle interno e externo; providenciar a emissão de Notas de Empenho no SIAFI e no SIASG, para os recursos creditícios, conforme autorização do Ordenador de Despesas; montar planilhas comparativas referentes aos pregões ou às cotações eletrônicas; efetuar os pagamentos das despesas realizadas, à vista de documentos hábeis, devidamente processados por quem de direito.</t>
  </si>
  <si>
    <t>Graduação em Ciências Contábeis, reconhecido pelo MEC, Secretarias ou Conselhos Estaduais. Registro no respectivo Conselho da Classe.</t>
  </si>
  <si>
    <t>Docência em Economia.</t>
  </si>
  <si>
    <t>Possuir diploma, devidamente registrado, reconhecido ou revalidado pelo MEC, de conclusão de curso superior em Economia e pós-graduação stricto sensu, nível doutorado, em Economia ou Ciências Sociais ou Ciências Humanas, devidamente registrado, reconhecido ou revalidado pelo MEC.</t>
  </si>
  <si>
    <t>Possuir diploma, devidamente registrado, reconhecido ou revalidado pelo MEC, de conclusão de curso superior em Ciências da Computação ou em Sistemas de Informação ou em Engenharia de Computação e diploma de pós-graduação stricto sensu, nível de doutorado, em Ciências da Computação ou em Sistemas de Informação ou em Engenharia de Computação ou em áreas afins, devidamente registrado, reconhecido ou revalidado pelo MEC.</t>
  </si>
  <si>
    <t>Docência em Mecânica Geral e Aerodinâmica.</t>
  </si>
  <si>
    <t>Possuir diploma, devidamente registrado, reconhecido ou revalidado pelo MEC, de conclusão de curso superior em licenciatura ou bacharelado em Física ou em Engenharia Aeronáutica ou em Engenharia Mecânica, e diploma de pós-graduação stricto sensu, nível de doutorado, em Física ou Engenharia Aeronáutica ou Engenharia Mecânica, devidamente registrado, reconhecido ou revalidado pelo MEC.</t>
  </si>
  <si>
    <t>Docência em Administração Geral e Gestão de Pessoas.</t>
  </si>
  <si>
    <t>Docência em Administração e Orçamento Público.</t>
  </si>
  <si>
    <t>Docência em Gestão de Projetos.</t>
  </si>
  <si>
    <t>Docência em Gestão de Operações e Processos.</t>
  </si>
  <si>
    <t>Docência em Logística.</t>
  </si>
  <si>
    <t>Docência em Contabilidade e Finanças.</t>
  </si>
  <si>
    <t>Docência em Língua Portuguesa.</t>
  </si>
  <si>
    <t>Possuir diploma, devidamente registrado, reconhecido ou revalidado pelo MEC, de conclusão de curso superior de Licenciatura em Letras, com habilitação em Língua Portuguesa e suas Literaturas, e diploma de pós-graduação stricto sensu, nível doutorado, em Letras, Linguística, Linguística Aplicada, Estudos Literários, Educação ou áreas afins, em curso reconhecido pelo MEC ou em curso realizado no exterior, devidamente revalidado.</t>
  </si>
  <si>
    <t>Docência em Língua Inglesa.</t>
  </si>
  <si>
    <t>Possuir diploma, devidamente registrado, reconhecido ou revalidado pelo MEC, de conclusão de curso superior em Licenciatura em Letras, com habilitação em Língua Inglesa, e diploma de pós-graduação stricto sensu, nível de doutorado, em Letras, Linguística, Linguística Aplicada, Estudos Literários ou Educação, em curso reconhecido pelo MEC ou realizado no exterior, devidamente revalidado.</t>
  </si>
  <si>
    <t>Docência em Língua Espanhola.</t>
  </si>
  <si>
    <t>Possuir diploma, devidamente registrado, reconhecido ou revalidado pelo MEC, de conclusão de curso superior em Licenciatura em Letras, com habilitação em Língua Espanhola, e diploma de pós-graduação stricto sensu, nível de doutorado, em Letras, Linguística, Linguística Aplicada, Estudos Literários ou Educação, em curso reconhecido pelo MEC ou realizado no exterior, devidamente revalidado.</t>
  </si>
  <si>
    <t>Docência em Filosofia.</t>
  </si>
  <si>
    <t>Possuir diploma, devidamente registrado, reconhecido ou revalidado pelo MEC, de conclusão de curso superior em licenciatura ou bacharelado em Filosofia, e diploma de pós-graduação stricto sensu, nível doutorado, em Filosofia ou em áreas afins, em curso reconhecido pelo MEC ou em curso realizado no exterior, devidamente revalidado.</t>
  </si>
  <si>
    <t>Docência em Psicologia.</t>
  </si>
  <si>
    <t>Possuir diploma, devidamente registrado, reconhecido ou revalidado pelo MEC, de conclusão de curso superior em bacharelado ou licenciatura plena em Psicologia, e diploma de pós-graduação stricto sensu, nível de doutorado, em Psicologia, em curso reconhecido pelo MEC ou realizado no exterior, devidamente revalidado.</t>
  </si>
  <si>
    <t>Docência em Direito.</t>
  </si>
  <si>
    <t>Possuir diploma, devidamente registrado, reconhecido ou revalidado pelo MEC, de conclusão de curso superior de bacharelado em Direito, e diploma de pós-graduação, nível doutorado, em Direito, em curso reconhecido pelo MEC ou realizado no exterior, devidamente revalidado.</t>
  </si>
  <si>
    <t>Docência em História.</t>
  </si>
  <si>
    <t>Possuir diploma, devidamente registrado, reconhecido ou revalidado pelo MEC, em bacharelado ou licenciatura em História, e diploma de pós-graduação stricto sensu, nível de doutorado, em História ou em áreas afins, em curso reconhecido pelo MEC ou em curso realizado no exterior, devidamente revalidado.</t>
  </si>
  <si>
    <t>Docência em Administração Pública.</t>
  </si>
  <si>
    <t>Docência em Educação Física: Esgrima.</t>
  </si>
  <si>
    <t>Possuir diploma, devidamente registrado, reconhecido ou revalidado pelo MEC, de conclusão de curso superior em Educação Física e diploma de especialização lato sensu em Mestre d’Armas (Esgrima), Pedagogia de Ensino ou Treinamento de Esportes de Combate ou Lutas, ou Educação Física ou áreas afins, devidamente reconhecidos ou revalidados pelo MEC.</t>
  </si>
  <si>
    <t>Docência em Educação Física: Polo Aquático.</t>
  </si>
  <si>
    <t>Possuir diploma, devidamente registrado, reconhecido ou revalidado pelo MEC, de conclusão de curso superior em Educação Física e diploma de pós-graduação lato sensu, a nível de especialização, em Educação Física, Atividades Aquáticas, Esportes Aquáticos, Treinamento Esportivo, Formação de Atletas em Esportes Aquáticos, Natação e Esportes Aquáticos, Natação e Atividades Aquáticas ou Natação, devidamente reconhecidos ou revalidados pelo MEC.</t>
  </si>
  <si>
    <t>Docência em Educação Física: Tiro Esportivo.</t>
  </si>
  <si>
    <t>Possuir diploma, devidamente registrado, reconhecido ou revalidado pelo MEC, de conclusão de curso superior em Educação Física e diploma de pós-graduação lato sensu, a nível de especialização, em Treinamento Esportivo, Armamento e Tiro, Armas, Munições e Balística, Docência em Armamento e Tiro, Docência em Armamento, Munição e Tiro com ênfase no uso seletivo da força, Instrutor de Armamento e Tiro, Educação Física ou áreas afins, devidamente reconhecidos ou revalidados pelo MEC.</t>
  </si>
  <si>
    <t>Docência em Educação Física: Pentatlo Militar.</t>
  </si>
  <si>
    <t>Possuir diploma, devidamente registrado, reconhecido ou revalidado pelo MEC, de conclusão de curso superior em Educação Física e diploma de pós-graduação lato sensu, a nível de especialização, em Educação Física, Treinamento Esportivo, Treinamento e Formação de Atletas de Alta Performance, Educação Física ou áreas afins, devidamente reconhecidos ou revalidados pelo MEC.</t>
  </si>
  <si>
    <t>Atuar como médico psiquiatra nas dependências da AFA.</t>
  </si>
  <si>
    <t>Graduação em Medicina, com certificação fornecida por instituição de ensino credenciada pelo MEC. Título de Residência Médica em Psiquiatria, reconhecido pelo Conselho Nacional de Residência Médica do Ministério da Educação (CNRM/MEC), ou título de especialista em Psiquiatria reconhecido pela Associação Médica Brasileira (AMB), ou Registro de Qualificação de Especialista (RQE) da especialidade.</t>
  </si>
  <si>
    <t>Atuar como médico urologista nas dependências da AFA.</t>
  </si>
  <si>
    <t>Graduação em Medicina, com certificação fornecida por instituição de ensino credenciada pelo MEC. Título de Residência Médica em Urologia, reconhecido pelo Conselho Nacional de Residência Médica do Ministério da Educação (CNRM/MEC), ou título de especialista em Urologia, reconhecido pela Associação Médica Brasileira (AMB), ou Registro de Qualificação de Especialista (RQE) da especialidade.</t>
  </si>
  <si>
    <t>Atuar como médico pediatra nas dependências da AFA.</t>
  </si>
  <si>
    <t>Graduação em Medicina, com certificação fornecida por instituição de ensino credenciada pelo MEC. Título de Residência Médica em Pediatria, reconhecido pelo Conselho Nacional de Residência Médica do Ministério da Educação (CNRM/MEC), ou título de especialista em Pediatria reconhecido pela Associação Médica Brasileira (AMB), ou Registro de Qualificação de Especialista (RQE) da especialidade.</t>
  </si>
  <si>
    <t>Atuar como médico oftalmologista nas dependências da AFA.</t>
  </si>
  <si>
    <t>Graduação em Medicina, com certificação fornecida por instituição de ensino credenciada pelo MEC. Título de Residência Médica em Oftalmologia, reconhecido pelo Conselho Nacional de Residência Médica do Ministério da Educação (CNRM/MEC), ou título de especialista em Oftalmologia, reconhecido pela Associação Médica Brasileira (AMB), ou Registro de Qualificação de Especialista (RQE) da especialidade.</t>
  </si>
  <si>
    <t>Atuar como médico dermatologista nas dependências da AFA.</t>
  </si>
  <si>
    <t>Graduação em Medicina, com certificação fornecida por instituição de ensino credenciada pelo MEC. Título de Residência Médica em Dermatologia, reconhecido pelo Conselho Nacional de Residência Médica do Ministério da Educação (CNRM/MEC), ou título de especialista em Dermatologia reconhecido pela Associação Médica Brasileira (AMB), ou Registro de Qualificação de Especialista (RQE) da especialidade.</t>
  </si>
  <si>
    <t>Atuar como médico cardiologista nas dependências da AFA.</t>
  </si>
  <si>
    <t>Graduação em Medicina, com certificação fornecida por instituição de ensino credenciada pelo MEC. Título de Residência Médica em Cardiologia, reconhecido pelo Conselho Nacional de Residência Médica do Ministério da Educação (CNRM/MEC), ou título de especialista em Cardiologia reconhecido pela Associação Médica Brasileira (AMB), ou Registro de Qualificação de Especialista (RQE) da especialidade.</t>
  </si>
  <si>
    <t>Assessorar nas atividades de ensino, pesquisa e extensão. Estudar medidas que visem melhorar os processos pedagógicos, inclusive na educação infantil. Elaborar e desenvolver projetos educacionais; participar da elaboração de instrumentos específicos de orientação pedagógica e educacional.</t>
  </si>
  <si>
    <t>Possuir diploma de conclusão de curso superior em Pedagogia, devidamente registrado, reconhecido ou revalidado pelo MEC, e registro no CFEP.</t>
  </si>
  <si>
    <t>Técnico de Informática</t>
  </si>
  <si>
    <t>Gerenciar dados e sistemas, garantindo que os sistemas funcionem de forma eficiente; monitorar e manter a segurança das informações e dos sistemas; avaliar e recomendar melhorias para os processos e sistemas. Gerenciar softwares, selecionando, implementando e administrando os necessários para o funcionamento das operações.</t>
  </si>
  <si>
    <t>Possuir diploma, devidamente reconhecido pelo MEC, de curso profissionalizante na área ou ensino médio completo mais curso técnico com ênfase em sistemas computacionais, em instituição credenciada pelo MEC.</t>
  </si>
  <si>
    <t>Planejar, coordenar e propor as atividades administrativas e de gestão de recursos humanos, inerentes ao Corpo Docente do Magistério Superior Federal, sob responsabilidade da OM.</t>
  </si>
  <si>
    <t>Bacharelado em Pedagogia ou Licenciaturas, realizado em instituição reconhecida pelo MEC.</t>
  </si>
  <si>
    <t>Ensino médio completo, com curso técnico em Radiologia, com certificação fornecida por instituição de ensino reconhecida pelo MEC.</t>
  </si>
  <si>
    <t>Atuar na área da Terapia Ocupacional nas dependências da AFA.</t>
  </si>
  <si>
    <t>Graduação em Terapia Ocupacional, com certificação reconhecida pelo MEC. Registro no respectivo conselho de classe.</t>
  </si>
  <si>
    <t>Executar serviços de apoio nas áreas de recursos humanos, administração, finanças e logística; atender usuários, fornecendo e recebendo informações; tratar de documentos variados, cumprindo todo o procedimento necessário referente aos mesmos; preparar relatórios e planilhas; executar serviços gerais de escritórios; assessorar nas atividades de ensino, pesquisa e extensão.</t>
  </si>
  <si>
    <t>Atribuições voltadas ao planejamento, supervisão, coordenação, controle, acompanhamento e execução de atividades de atendimento ao cidadão e de atividades técnicas e especializadas, de nível superior, necessárias ao exercício das competências constitucionais e legais a cargo dos órgãos e entidades da administração pública federal, bem como à implementação de políticas e à realização de estudos e pesquisas na sua área de atuação, ressalvadas as atividades privativas de carreiras específicas, fazendo uso de todos os equipamentos e recursos disponíveis para a consecução dessas atividades.</t>
  </si>
  <si>
    <t>Graduação em qualquer área de nível superior em Humanas, devidamente registrada e reconhecida pelo MEC, com registro no respectivo Conselho de Classe.</t>
  </si>
  <si>
    <t>Auxiliar professores no acompanhamento das turmas; apoiar a organização de materiais pedagógicos; ajudar na preparação de atividades e registros escolares; colaborar na organização de reuniões e eventos escolares; realizar atendimento básico a alunos e responsáveis; auxiliar em processos administrativos, como controle de documentos, organização de arquivos e apoio em rotinas internas da escola ou secretaria.</t>
  </si>
  <si>
    <t>Possuir diploma, devidamente registrado, de curso nível médio, reconhecido pelo Ministério da Educação, Secretarias ou Conselhos Estaduais de Educação.</t>
  </si>
  <si>
    <t>Docência em Educação Infantil e Ensino Fundamental I.</t>
  </si>
  <si>
    <t>Licenciatura em Pedagogia, com habilitação em Educação Infantil e/ou Educação e Letramento e/ou Anos Iniciais do Ensino Fundamental, ou Licenciatura Plena em Normal Superior, realizada em instituição reconhecida pelo MEC.</t>
  </si>
  <si>
    <t>Docência em Artes; Ênfase: Música — Ensino Fundamental II e Médio.</t>
  </si>
  <si>
    <t>Licenciatura em Artes, com habilitação em Música ou em Educação Musical, realizada em instituição reconhecida pelo MEC.</t>
  </si>
  <si>
    <t>Docência em Educação Física — Ensino Fundamental II e Médio.</t>
  </si>
  <si>
    <t>Docência em Matemática — Ensino Fundamental II e Médio.</t>
  </si>
  <si>
    <t>Docência em Física — Ensino Fundamental II e Médio.</t>
  </si>
  <si>
    <t>Docência em Química — Ensino Fundamental II e Médio.</t>
  </si>
  <si>
    <t>Docência em Biologia — Ensino Fundamental II e Médio.</t>
  </si>
  <si>
    <t>Docência em Língua Portuguesa e Literatura Brasileira — Ensino Fundamental II e Médio.</t>
  </si>
  <si>
    <t>Licenciatura em Letras, com habilitação em Língua Portuguesa e/ou Literatura Brasileira, realizada em instituição reconhecida pelo MEC.</t>
  </si>
  <si>
    <t>Docência em Língua Inglesa — Ensino Fundamental II e Médio.</t>
  </si>
  <si>
    <t>Licenciatura em Letras – Língua Inglesa, ou Letras com habilitação em Língua Portuguesa e Língua Inglesa, ou Letras com habilitação em Língua Inglesa, realizada em instituição reconhecida pelo MEC.</t>
  </si>
  <si>
    <t>Participar do planejamento das atividades de ensino, pesquisa e extensão; atualizar, quando julgar necessário, materiais didáticos e recursos pedagógicos referentes às suas disciplinas, em consonância com as orientações e práticas vigentes; reportar as necessidades relativas ao planejamento e à execução das disciplinas sob sua responsabilidade; elaborar e encaminhar listas de aquisições bibliográficas referentes às disciplinas sob sua responsabilidade; participar de eventos, reuniões e solenidades promovidos pelo CBNB; integrar comissões de interesse do CBNB e da DIRENS; participar, quando convocado, de processos administrativos disciplinares.</t>
  </si>
  <si>
    <t>Diploma ou certificado de conclusão de curso de graduação em nível superior em Pedagogia ou Licenciaturas, realizado em instituição reconhecida pelo MEC.</t>
  </si>
  <si>
    <t>Gerenciar os serviços administrativos e de planejamento e gestão de aquisições e fiscalização de contratos; gerenciar o processo de aquisições e de auditoria de contratos; gerenciar projetos; gerenciar os sistemas administrativos.</t>
  </si>
  <si>
    <t>Graduação em Administração de Empresas, devidamente registrada e reconhecida pelo MEC, com registro no respectivo Conselho da Classe.</t>
  </si>
  <si>
    <t>Planejamento, organização e gestão de recursos administrativos, garantindo suporte às atividades do GSAU-BQ.</t>
  </si>
  <si>
    <t>Graduação em Administração de Empresas, devidamente registrada e reconhecida pelo MEC. Especialização em Gestão Pública, com registro no respectivo Conselho da Classe.</t>
  </si>
  <si>
    <t>Planejar, direcionar, coordenar e supervisionar os trabalhos relativos ao setor da Assessoria Jurídica, no que se refere às demandas jurídicas internas e externas.</t>
  </si>
  <si>
    <t>Graduação em Direito, com pós-graduação lato sensu em Direito, emitidos por instituição reconhecida pelo MEC. Registro profissional na OAB. Experiência jurídica mínima de 3 anos.</t>
  </si>
  <si>
    <t>Atuar na implementação, coordenação e gerenciamento dos hardwares e softwares utilizados pela EPCAR; gerenciar o funcionamento das redes de INTRAER e INTERNET na Unidade; atuar nos projetos de implementação de software e plataformas de ensino utilizadas no âmbito do CPCAR, bem como na formação EAD do efetivo.</t>
  </si>
  <si>
    <t>Graduação em Computação ou outro equivalente, reconhecido pelo MEC, Secretarias ou Conselhos Estaduais de Educação. Registro no respectivo Conselho de Classe.</t>
  </si>
  <si>
    <t>Planejar, elaborar, dimensionar, especificar, orçar, executar e analisar e fiscalizar projetos, obras e serviços técnicos especializados de arquitetura; elaborar e emitir laudos, pareceres técnicos, instruções normativas, manuais técnicos, relatórios, registros e cadastros relativos à sua área de formação; realizar vistoria, perícia, avaliação, arbitramento, laudo e parecer técnico, incluindo emissão de termos de recebimentos provisórios e definitivos de obras e serviços; executar, acompanhar, fiscalizar e receber obras e serviços técnicos especializados de arquitetura; realizar a gestão de contratos e licitações referentes a obras e serviços técnicos especializados de arquitetura; planejar, elaborar, dimensionar, especificar, orçar e analisar e fiscalizar gestão de ativos de arquitetura; aplicar e supervisionar segurança do trabalho e normas técnicas referentes a obras e serviços técnicos especializados de arquitetura; realizar outras atividades de gestão necessárias à análise de processos administrativos e ao planejamento da contratação de bens e serviços necessários à sua área de atuação; prestar assessoria e assistência técnico-gerencial em sua área de atuação; executar outras atividades compatíveis com o cargo e área de formação.</t>
  </si>
  <si>
    <t>Graduação em Arquitetura e Urbanismo, devidamente registrada, ou certificado de conclusão de curso acompanhado do comprovante de registro no Conselho de Arquitetura e Urbanismo do Brasil – CAU, se houver.</t>
  </si>
  <si>
    <t>Organizar documentação de arquivos institucionais e pessoais; dar acesso à informação; conservar acervos; preparar ações educativas ou culturais; planejar e realizar atividades técnico-administrativas; orientar implantação das atividades técnicas; assessorar nas atividades de ensino, pesquisa e extensão.</t>
  </si>
  <si>
    <t>Bacharelado em Arquivologia, realizado em instituição reconhecida pelo MEC.</t>
  </si>
  <si>
    <t>Atuar na assistência social aos militares e dependentes, bem como aos servidores civis, pensionistas e inativos no âmbito da EPCAR.</t>
  </si>
  <si>
    <t>Graduação em Assistência Social, com certificação reconhecida pelo MEC. Registro no respectivo Conselho da Classe.</t>
  </si>
  <si>
    <t>Disponibilizar informação em qualquer suporte; gerenciar unidades como bibliotecas, centros de documentação, centros de informação e correlatos, além de redes e sistemas de informação; tratar tecnicamente e desenvolver recursos informacionais; disseminar informação com o objetivo de facilitar o acesso e a geração do conhecimento; desenvolver estudos e pesquisas; realizar difusão cultural; desenvolver ações educativas; assessorar nas atividades de ensino, pesquisa e extensão.</t>
  </si>
  <si>
    <t>Bacharelado em Biblioteconomia, devidamente registrado, reconhecido ou revalidado pelo MEC.</t>
  </si>
  <si>
    <t>Administrar os tributos; registrar atos e fatos contábeis; controlar o ativo permanente; gerenciar custos; preparar obrigações acessórias, tais como declarações acessórias ao fisco, órgãos competentes e contribuintes; administrar o registro dos livros nos órgãos apropriados; elaborar demonstrações contábeis; prestar consultoria e informações gerenciais; realizar auditoria interna e externa; atender solicitações de órgãos fiscalizadores; realizar perícia; assessorar nas atividades de ensino, pesquisa e extensão.</t>
  </si>
  <si>
    <t>Graduação em Ciências Contábeis, reconhecida pelo MEC, com registro no respectivo Conselho da Classe.</t>
  </si>
  <si>
    <t>Atuar na área da Enfermagem nos diversos setores da unidade de saúde da EPCAR.</t>
  </si>
  <si>
    <t>Graduação em Enfermagem, com certificação reconhecida pelo MEC. Registro no respectivo Conselho da Classe.</t>
  </si>
  <si>
    <t>Desenvolver projetos de engenharia; planejar e coordenar a operação e a manutenção; orçar; emitir laudo técnico; vistoriar; fiscalizar execução de contratos de obras; acompanhar e analisar prestação de contas de convênios e instrumentos congêneres; controlar a qualidade dos suprimentos e serviços comprados e executados; supervisionar, planejar e coordenar a execução de obras; elaborar normas e documentos; prestar assessoria e assistência técnico-gerencial em sua área de atuação; executar outras atividades compatíveis com o cargo e área de formação.</t>
  </si>
  <si>
    <t>Graduação em Engenharia Civil, devidamente registrada, reconhecida ou revalidada pelo MEC, com registro no CREA.</t>
  </si>
  <si>
    <t>Planejar, coordenar e implementar políticas, programas e ações voltados à prevenção de acidentes, promoção da saúde ocupacional e redução de riscos no ambiente laboral; realizar análises técnicas; elaborar laudos e pareceres; acompanhar a legislação vigente; promover treinamentos; orientar empregadores e trabalhadores quanto às normas de segurança, visando garantir condições adequadas de trabalho e preservação da integridade física e mental dos colaboradores.</t>
  </si>
  <si>
    <t>Graduação em qualquer área de Engenharia ou Arquitetura e Urbanismo e especialização em Segurança do Trabalho fornecidos por instituição de ensino reconhecida pelo MEC, com registro profissional em conselho de classe competente, se houver.</t>
  </si>
  <si>
    <t>Planejar, elaborar, dimensionar, especificar, executar, orçar e analisar projetos, obras e serviços técnicos especializados de engenharia; planejar, elaborar, dimensionar, especificar, executar, orçar, analisar e fiscalizar projetos, obras e serviços de manutenção referentes à geração, transmissão, distribuição e utilização da energia elétrica, equipamentos, materiais e máquinas elétricas, sistemas de medição e controle elétricos e serviços afins e correlatos; realizar inspeção de instalações elétricas prediais; realizar a gestão de contratos e licitações referentes a obras e serviços de engenharia; planejar, elaborar, dimensionar, especificar, orçar, analisar e fiscalizar a gestão de ativos de engenharia; elaborar e emitir laudos, pareceres técnicos, instruções normativas, manuais técnicos, relatórios, registros e cadastros relativos à sua área de formação; realizar vistoria, perícia, avaliação, arbitramento, laudo e parecer técnico, incluindo emissão de termos de recebimentos provisórios e definitivos de obras e serviços; aplicar e supervisionar segurança do trabalho e normas técnicas referentes a obras e serviços de engenharia; realizar outras atividades de gestão necessárias à análise de processos administrativos e ao planejamento da contratação de bens e serviços necessários à sua área de atuação; prestar assessoria e assistência técnico-gerencial em sua área de atuação; executar outras atividades compatíveis com o cargo e área de formação.</t>
  </si>
  <si>
    <t>Graduação em Engenharia Elétrica, devidamente registrada, reconhecida ou revalidada pelo MEC, com registro no CREA.</t>
  </si>
  <si>
    <t>Desenhar amostras; analisar e processar dados; construir instrumentos de coleta de dados; criar banco de dados; desenvolver sistemas de codificação de dados; planejar pesquisas; comunicar-se oralmente e por escrito; assessorar nas atividades de ensino, pesquisa e extensão.</t>
  </si>
  <si>
    <t>Graduação em Estatística, devidamente registrada e reconhecida pelo MEC, com registro no respectivo Conselho de Classe.</t>
  </si>
  <si>
    <t>Atendimento às demandas farmacêuticas e laboratoriais, mantendo vínculo e suporte técnico.</t>
  </si>
  <si>
    <t>Graduação em Farmácia com especialização em Análises Clínicas, com certificação reconhecida pelo MEC. Registro no respectivo Conselho da Classe.</t>
  </si>
  <si>
    <t>Atuar na área da Fisioterapia, dando assistência aos pacientes ambulatoriais e internados na unidade de saúde da EPCAR.</t>
  </si>
  <si>
    <t>Graduação em Fisioterapia, com certificação reconhecida pelo MEC. Registro no respectivo Conselho da Classe.</t>
  </si>
  <si>
    <t>Atuar como fonoaudiólogo na assistência aos pacientes ambulatoriais e internados na unidade de saúde da EPCAR.</t>
  </si>
  <si>
    <t>Graduação em Fonoaudiologia, com certificação reconhecida pelo MEC. Registro no respectivo Conselho da Classe.</t>
  </si>
  <si>
    <t>Graduação em Medicina, com certificação fornecida por instituição de ensino credenciada pelo MEC. Título de Residência Médica em Anestesiologia reconhecido pela CNRM/MEC, ou Título de Especialista em Anestesiologia reconhecido pela AMB, ou Registro de Qualificação de Especialista (RQE) da especialidade.</t>
  </si>
  <si>
    <t>Atendimento a cirurgias eletivas e emergenciais em regime de 20h, dada a ausência de militares disponíveis nesta função e garantindo vínculo com usuários.</t>
  </si>
  <si>
    <t>Graduação em Medicina, com certificação fornecida por instituição de ensino credenciada pelo MEC. Título de Residência Médica em Cirurgia Geral reconhecido pela CNRM/MEC, ou Título de Especialista em Cirurgia Geral reconhecido pela AMB, ou Registro de Qualificação de Especialista (RQE) da especialidade.</t>
  </si>
  <si>
    <t>Emissão de laudos de insalubridade, acompanhamento do SIASS e atuação na CIPA, garantindo saúde ocupacional e cumprimento da legislação.</t>
  </si>
  <si>
    <t>Graduação em Medicina, com certificação fornecida por instituição de ensino credenciada pelo MEC. Título de Residência Médica em Medicina do Trabalho reconhecido pela CNRM/MEC, ou Título de Especialista em Medicina do Trabalho reconhecido pela AMB, ou Registro de Qualificação de Especialista (RQE) da especialidade.</t>
  </si>
  <si>
    <t>Diploma, devidamente registrado, de conclusão de curso superior de Bacharelado em Nutrição, em nível de graduação, fornecido por instituição de ensino credenciada pelo MEC, e curso de especialização na área de Nutrição em Alimentação Coletiva.</t>
  </si>
  <si>
    <t>Diploma, devidamente registrado, de conclusão de curso superior de Bacharelado em Nutrição, em nível de graduação, fornecido por instituição de ensino credenciada pelo MEC, e curso de especialização na área de Nutrição Clínica Hospitalar.</t>
  </si>
  <si>
    <t>Realizar atividades de supervisão, coordenação, programação ou execução especializada, em grau de maior complexidade, referentes à execução, avaliação e coordenação do projeto pedagógico do ensino médio; assessorar nas atividades de ensino, pesquisa e extensão.</t>
  </si>
  <si>
    <t>Diploma, devidamente registrado, de conclusão de curso superior de Licenciatura Plena em Pedagogia, em nível de graduação, fornecido por instituição de ensino credenciada pelo MEC, e curso de especialização na área de Educação.</t>
  </si>
  <si>
    <t>Licenciatura em Língua Inglesa ou Letras com habilitação em Inglês.</t>
  </si>
  <si>
    <t>Licenciatura em Educação Física.</t>
  </si>
  <si>
    <t>Licenciatura em Matemática.</t>
  </si>
  <si>
    <t>Licenciatura em Física ou Ciências da Natureza.</t>
  </si>
  <si>
    <t>Licenciatura em Letras.</t>
  </si>
  <si>
    <t>Licenciatura em História ou Ciências Humanas.</t>
  </si>
  <si>
    <t>Licenciatura em Sociologia, Ciências Sociais ou Ciências Humanas.</t>
  </si>
  <si>
    <t>Licenciatura em Filosofia ou Ciências Humanas.</t>
  </si>
  <si>
    <t>Licenciatura em Biologia, Ciências Biológicas ou Ciências da Natureza.</t>
  </si>
  <si>
    <t>Graduação em Psicologia, com certificação fornecida por instituição de ensino credenciada pelo MEC. Especialização em Psicologia Educacional. Registro no conselho competente.</t>
  </si>
  <si>
    <t>Graduação em Psicologia, com certificação reconhecida pelo MEC. Registro no respectivo Conselho da Classe.</t>
  </si>
  <si>
    <t>Execução de exames laboratoriais essenciais ao diagnóstico e monitoramento clínico, recompondo lacunas da equipe.</t>
  </si>
  <si>
    <t>Ensino médio completo com curso Técnico em Patologia Clínica, ou Técnica de Análises Clínicas, ou Técnico de Laboratório, com certificação fornecida por instituição de ensino reconhecida pelo MEC.</t>
  </si>
  <si>
    <t>Coordenar as atividades de ensino, planejamento e orientação, supervisionando e avaliando essas atividades para assegurar a regularidade do desenvolvimento do processo educativo; assessorar nas atividades de ensino, pesquisa e extensão.</t>
  </si>
  <si>
    <t>Atuar na criação de formatos inovadores e na gestão da programação; realizar reportagens e entrevistas, quando necessário; operar equipamentos de áudio e transmissão, com conhecimento técnico especializado; desempenhar atividades de supervisão e coordenação de equipes de produção e operação; zelar pela qualidade técnica e artística da programação; desempenhar outras atividades correlatas designadas pela autoridade superior; executar outras atividades compatíveis com o cargo e área de formação.</t>
  </si>
  <si>
    <t>Diploma, devidamente registrado, ou certificado de conclusão de curso de graduação em Comunicação Social, nas áreas de rádio/TV, jornalismo, comunicação digital, editoração, publicidade e propaganda e relações públicas, fornecido por instituição de ensino reconhecida pelo MEC, e, quando houver, registro no órgão fiscalizador da profissão ou conselho de classe.</t>
  </si>
  <si>
    <t>Apoio à equipe de enfermagem, assegurando continuidade da assistência básica e especializada.</t>
  </si>
  <si>
    <t>Ensino médio completo com curso Técnico em Enfermagem, com certificação fornecida por instituição de ensino reconhecida pelo MEC.</t>
  </si>
  <si>
    <t>Realização de exames radiológicos necessários ao acompanhamento dos pacientes.</t>
  </si>
  <si>
    <t>Ensino médio completo com curso Técnico em Radiologia, com certificação fornecida por instituição de ensino reconhecida pelo MEC.</t>
  </si>
  <si>
    <t>Reabilitação funcional e promoção da autonomia do paciente, garantindo vínculo e continuidade assistencial.</t>
  </si>
  <si>
    <t>Professor de Língua Inglesa responsável por participar da elaboração da proposta pedagógica da instituição; elaborar e cumprir plano de trabalho segundo a proposta pedagógica; zelar pela aprendizagem dos alunos; estabelecer estratégias de recuperação para os alunos de menor rendimento; ministrar os dias letivos e horas-aula estabelecidos; participar do planejamento, avaliação e desenvolvimento profissional; colaborar com as atividades de articulação da escola com as famílias e a comunidade.</t>
  </si>
  <si>
    <t>Professor de Educação Física responsável por participar da elaboração da proposta pedagógica da instituição; elaborar e cumprir plano de trabalho segundo a proposta pedagógica; zelar pela aprendizagem dos alunos; estabelecer estratégias de recuperação para os alunos de menor rendimento; ministrar os dias letivos e horas-aula estabelecidos; participar do planejamento, avaliação e desenvolvimento profissional; colaborar com as atividades de articulação da escola com as famílias e a comunidade.</t>
  </si>
  <si>
    <t>Professor de Matemática responsável por participar da elaboração da proposta pedagógica da instituição; elaborar e cumprir plano de trabalho segundo a proposta pedagógica; zelar pela aprendizagem dos alunos; estabelecer estratégias de recuperação para os alunos de menor rendimento; ministrar os dias letivos e horas-aula estabelecidos; participar do planejamento, avaliação e desenvolvimento profissional; colaborar com as atividades de articulação da escola com as famílias e a comunidade.</t>
  </si>
  <si>
    <t>Professor de Física responsável por participar da elaboração da proposta pedagógica da instituição; elaborar e cumprir plano de trabalho segundo a proposta pedagógica; zelar pela aprendizagem dos alunos; estabelecer estratégias de recuperação para os alunos de menor rendimento; ministrar os dias letivos e horas-aula estabelecidos; participar do planejamento, avaliação e desenvolvimento profissional; colaborar com as atividades de articulação da escola com as famílias e a comunidade.</t>
  </si>
  <si>
    <t>Professor de Língua Portuguesa responsável por participar da elaboração da proposta pedagógica da instituição; elaborar e cumprir plano de trabalho segundo a proposta pedagógica; zelar pela aprendizagem dos alunos; estabelecer estratégias de recuperação para os alunos de menor rendimento; ministrar os dias letivos e horas-aula estabelecidos; participar do planejamento, avaliação e desenvolvimento profissional; colaborar com as atividades de articulação da escola com as famílias e a comunidade.</t>
  </si>
  <si>
    <t>Professor de História responsável por participar da elaboração da proposta pedagógica da instituição; elaborar e cumprir plano de trabalho segundo a proposta pedagógica; zelar pela aprendizagem dos alunos; estabelecer estratégias de recuperação para os alunos de menor rendimento; ministrar os dias letivos e horas-aula estabelecidos; participar do planejamento, avaliação e desenvolvimento profissional; colaborar com as atividades de articulação da escola com as famílias e a comunidade.</t>
  </si>
  <si>
    <t>Professor de Sociologia responsável por participar da elaboração da proposta pedagógica da instituição; elaborar e cumprir plano de trabalho segundo a proposta pedagógica; zelar pela aprendizagem dos alunos; estabelecer estratégias de recuperação para os alunos de menor rendimento; ministrar os dias letivos e horas-aula estabelecidos; participar do planejamento, avaliação e desenvolvimento profissional; colaborar com as atividades de articulação da escola com as famílias e a comunidade.</t>
  </si>
  <si>
    <t>Professor de Filosofia responsável por participar da elaboração da proposta pedagógica da instituição; elaborar e cumprir plano de trabalho segundo a proposta pedagógica; zelar pela aprendizagem dos alunos; estabelecer estratégias de recuperação para os alunos de menor rendimento; ministrar os dias letivos e horas-aula estabelecidos; participar do planejamento, avaliação e desenvolvimento profissional; colaborar com as atividades de articulação da escola com as famílias e a comunidade.</t>
  </si>
  <si>
    <t xml:space="preserve"> Professor de Biologia responsável por participar da elaboração da proposta pedagógica da instituição; elaborar e cumprir plano de trabalho segundo a proposta pedagógica; zelar pela aprendizagem dos alunos; estabelecer estratégias de recuperação para os alunos de menor rendimento; ministrar os dias letivos e horas-aula estabelecidos; participar do planejamento, avaliação e desenvolvimento profissional; colaborar com as atividades de articulação da escola com as famílias e a comunidade.</t>
  </si>
  <si>
    <t>"TODOS" É O SOMATÓRIO DOS DOIS NÍVEIS ACIMA.</t>
  </si>
  <si>
    <t>VALOR CONFERIDO</t>
  </si>
  <si>
    <t>CONFERIDO</t>
  </si>
  <si>
    <t>Salário</t>
  </si>
  <si>
    <t>Impacto Financeiro</t>
  </si>
  <si>
    <t>INSS</t>
  </si>
  <si>
    <t>(E)</t>
  </si>
  <si>
    <t>(J)</t>
  </si>
  <si>
    <t>(K)</t>
  </si>
  <si>
    <t>IMPACTO</t>
  </si>
  <si>
    <t>ENCARGOS SOCIAS A</t>
  </si>
  <si>
    <t>ENCARGOS SOCIAS B</t>
  </si>
  <si>
    <t>IMPACTO TOTAL</t>
  </si>
  <si>
    <t>Médico (20h)</t>
  </si>
  <si>
    <t>Elaborar e acompanhar planos, programas, projetos e estudos organizacionais. Atuar na gestão de pessoas, incluindo seleção, capacitação e avaliação de desempenho. Gerenciar atividades administrativas e logísticas (compras, contratos, patrimônio, processos e documentos). Auxiliar no planejamento e execução orçamentária e financeira. Apoiar auditorias, controles internos e gestão de riscos. Elaborar documentos oficiais, relatórios técnicos e participar de comissões e grupos de trabalho. Mapear e melhorar processos, apoiando a transformação digital e o uso de sistemas de gestão.</t>
  </si>
  <si>
    <t>Graduação em Administração reconhecida pelo MEC - Registro ativo no Conselho Regional de Administração (CRA).</t>
  </si>
  <si>
    <t>Organizar documentação de arquivos institucionais e pessoais. Dar acesso à informação, conservar acervos. Preparar ações educativas ou culturais, planejar e realizar atividades técnico-administrativas, orientar implantação das atividades técnicas. Assessorar nas  atividades de ensino, pesquisa  e
extensão.</t>
  </si>
  <si>
    <t>Atender ao público interno e externo, presencialmente ou por meios eletrônicos. Elaborar, conferir, registrar e arquivar documentos, processos e correspondências. Alimentar sistemas administrativos, planilhas e bases de dados. Apoiar atividades de compras, contratos, logística, almoxarifado e patrimônio. Auxiliar na organização de agendas, reuniões, expedientes e fluxos de trabalho. Controlar prazos, movimentações processuais e documentação administrativa. Realizar atividades de suporte às áreas de recursos humanos, orçamento, finanças e materiais. Preparar relatórios, minutas, ofícios e demais documentos administrativos.</t>
  </si>
  <si>
    <t>Ensino Médio Completo, reconhecido pelo MEC - Domínio básico de informática, especialmente: editor de texto  e planilhas eletrônicas.</t>
  </si>
  <si>
    <t>Realizar atividades inerentes à Subseção de Ensino Científico da Seção de Ensino Geral, subordinada à Subdivisão de Execução da Divisão de Ensino de Formação da EEAR e realização atividades inerentes à docência do ensino técnico, bem como à pesquisa, extensão e gestão, quando necessário e aplicável.</t>
  </si>
  <si>
    <t>Licenciatura em letras, com habilitação na língua inglesa; nível de proficiência, no mínimo intermediário (B2) em inglês, nas quatro habilidades, a saber, compreensão e produção escrita (reading e writing) e compreensão e produção oral (listening e speaking), preferencialmente possuir alguma titulação (especialização, mestrado e doutorado) em língua inglesa, ter perfil de pesquisador, principalmente das áreas do conhecimento nas quais ministrará as aulas de inglês para fins específicos.</t>
  </si>
  <si>
    <t>Planejar, coordenar, supervisionar e executar atividades de enfermagem, garantindo assistência integral a pacientes militares, dependentes e inativos; Avaliar a condição de saúde do paciente e elaborar planos de cuidados de enfermagem individualizados; Administrar tratamentos, medicamentos e procedimentos prescritos por médicos, seguindo protocolos clínicos e normas de segurança; Coordenar e supervisionar técnicos e auxiliares de enfermagem, promovendo capacitação contínua e qualidade nos serviços; participar de programas de prevenção, promoção da saúde e campanhas educativas voltadas para a saúde coletiva; prestar atendimento em situações de urgência e emergência, seguindo protocolos de atendimento e registro adequado; Elaborar relatórios, prontuários e documentos de acompanhamento do paciente, mantendo confidencialidade e precisão das informações; integrar-se a equipes multidisciplinares de saúde (medicina, fisioterapia, nutrição, psicologia, etc.) em programas especiais, como o TEA-SISAU; e Participar de auditorias, inspeções e controle de qualidade nos serviços de enfermagem.</t>
  </si>
  <si>
    <t>Curso superior completo em Enfermagem, reconhecido pelo MEC. Registro ativo no Conselho Regional de Enfermagem (COREN).</t>
  </si>
  <si>
    <t>Avaliar, planejar e executar programas de reabilitação física e funcional de pacientes militares, dependentes e inativos; Prescrever e supervisionar exercícios terapêuticos, mobilizações, massagens e outros procedimentos fisioterapêuticos; Elaborar planos de tratamento individualizados, considerando características clínicas, funcionais e necessidades específicas de cada paciente; Participar de equipes multidisciplinares de saúde, integrando-se a programas especiais, como o TEA-SISAU, visando terapias combinadas; Monitorar e registrar a evolução dos pacientes, mantendo documentação clínica adequada e confidencialidade; Implementar ações de prevenção, promoção da saúde e orientação aos pacientes sobre cuidados físicos e posturais; Atuar em situações de urgência ou emergência relacionadas à função motora e reabilitação física, quando necessário; e Participar de programas de capacitação e atualização profissional, mantendo práticas baseadas em evidências científicas.</t>
  </si>
  <si>
    <t>Curso superior completo em Fisioterapia, reconhecido pelo MEC. Registro ativo no Conselho Regional de Fisioterapia e Terapia Ocupacional (CREFITO).</t>
  </si>
  <si>
    <t>Avaliar, diagnosticar e tratar distúrbios da comunicação, linguagem, fala, voz, audição e deglutição em pacientes militares, dependentes e inativos; Elaborar planos de tratamento individualizados e programas terapêuticos específicos para cada paciente; Atuar em programas multidisciplinares de saúde, como o TEA-SISAU, colaborando com equipes de psicologia, terapia ocupacional e educação; Orientar pacientes, familiares e equipe de saúde sobre estratégias de reabilitação e prevenção de distúrbios fonoaudiológicos; Registrar e monitorar a evolução dos pacientes em prontuários clínicos, garantindo a confidencialidade das informações; Participar de atividades de promoção da saúde, prevenção de doenças e campanhas educativas voltadas à comunicação e audição; Desenvolver ações de capacitação e atualização profissional, mantendo práticas baseadas em evidências científicas; e Atender emergências relacionadas à comunicação, deglutição ou respiração, quando aplicável, dentro do contexto da unidade de saúde.</t>
  </si>
  <si>
    <t>Curso superior completo em Fonoaudiologia, reconhecido pelo MEC. Registro ativo no Conselho Regional de Fonoaudiologia (CREFONO).</t>
  </si>
  <si>
    <t>Prestar assistência médica integral a pacientes militares, dependentes e inativos, realizando consultas, diagnósticos e acompanhamento clínico; Prescrever tratamentos, medicamentos e procedimentos, seguindo protocolos clínicos e normas vigentes; Realizar avaliações periódicas de saúde, exames físicos e interpretação de exames laboratoriais e de imagem; Participar de programas de prevenção, promoção da saúde e campanhas educativas voltadas à saúde coletiva; Integrar-se a equipes multidisciplinares de saúde, colaborando com enfermagem, fisioterapia, psicologia, nutrição, fonoaudiologia e terapia ocupacional; Atender situações de urgência e emergência, tomando decisões rápidas de forma adequada e segura; Elaborar relatórios médicos, prontuários e documentos de acompanhamento do paciente, mantendo confidencialidade e precisão das informações; Participar de capacitação contínua e atualização profissional, mantendo práticas baseadas em evidências científicas; e Colaborar em programas especiais, como o TEA-SISAU, fornecendo acompanhamento clínico e suporte multidisciplinar aos pacientes.</t>
  </si>
  <si>
    <t>Curso superior completo em Medicina, reconhecido pelo MEC. Registro ativo no Conselho Regional de Medicina (CRM).</t>
  </si>
  <si>
    <t>Realizar avaliação, diagnóstico e acompanhamento psicológico de pacientes militares, dependentes e inativos; Planejar e executar intervenções terapêuticas individuais ou em grupo, utilizando técnicas psicológicas adequadas; Atuar em programas multidisciplinares de saúde, como o TEA-SISAU, oferecendo suporte a pacientes com Transtorno do Espectro Autista e outras deficiências; Orientar pacientes, familiares e equipe de saúde sobre estratégias de enfrentamento, bem-estar emocional e desenvolvimento psicológico; Elaborar relatórios clínicos, registros de evolução e documentação necessária, mantendo confidencialidade e precisão das informações; Participar de ações de promoção da saúde mental, prevenção de transtornos e campanhas educativas; Integrar-se a equipes multidisciplinares, colaborando com médicos, enfermeiros, fisioterapeutas, nutricionistas, fonoaudiólogos e terapeutas ocupacionais; Desenvolver atividades de capacitação e atualização profissional, garantindo a aplicação de práticas baseadas em evidências científicas; e Atender emergências ou situações críticas que envolvam saúde mental, oferecendo suporte imediato quando necessário.</t>
  </si>
  <si>
    <t>Curso superior completo em Psicologia, reconhecido pelo MEC. Registro ativo no Conselho Regional de Psicologia (CRP).</t>
  </si>
  <si>
    <t>Avaliar, planejar e executar programas de reabilitação funcional e ocupacional de pacientes militares, dependentes e inativos; Desenvolver atividades terapêuticas que promovam a independência, autonomia e habilidades funcionais dos pacientes; Participar de programas multidisciplinares, como o TEA-SISAU, oferecendo suporte a pacientes com Transtorno do Espectro Autista e outras deficiências físicas e intelectuais; Orientar pacientes, familiares e equipe de saúde sobre estratégias de reabilitação, ergonomia e adaptação de atividades; Elaborar relatórios clínicos, registros de evolução e documentação necessária, garantindo precisão e confidencialidade das informações; Integrar-se a equipes multidisciplinares de saúde, colaborando com médicos, enfermeiros, fisioterapeutas, psicólogos, nutricionistas e fonoaudiólogos; Desenvolver e implementar programas de prevenção e promoção da saúde ocupacional, visando melhor qualidade de vida e funcionalidade dos pacientes; Participar de capacitação contínua, atualização profissional e aplicação de práticas baseadas em evidências científicas; Atender casos emergenciais relacionados à funcionalidade e autonomia do paciente, quando necessário.</t>
  </si>
  <si>
    <t>Curso superior completo em Terapia Ocupacional, reconhecido pelo MEC. Registro ativo no Conselho Regional de Fisioterapia e Terapia Ocupacional (CREFITO).</t>
  </si>
  <si>
    <t>Coletar, preparar, processar e analisar amostras biológicas, garantindo precisão e confiabilidade dos resultados; Operar e realizar a manutenção de equipamentos laboratoriais, assegurando condições de segurança e funcionamento adequado; Realizar testes laboratoriais de rotina, seguindo protocolos, normas técnicas e padrões de qualidade; Registrar e documentar resultados de exames, mantendo prontuários e relatórios organizados e confidenciais; Apoiar profissionais de saúde no diagnóstico e acompanhamento clínico de pacientes militares, dependentes e inativos; Participar de programas de controle de qualidade e biossegurança, garantindo conformidade com normas sanitárias e legais; Integrar-se a equipes multidisciplinares, colaborando com médicos, enfermeiros, fisioterapeutas, psicólogos, nutricionistas, fonoaudiólogos e terapeutas ocupacionais; Desenvolver atividades de capacitação e atualização profissional, aplicando técnicas laboratoriais baseadas em evidências científicas; e Apoiar programas especiais, como o TEA-SISAU, fornecendo suporte em exames complementares necessários para avaliação e acompanhamento dos pacientes.</t>
  </si>
  <si>
    <t>Curso técnico em Análises Clínicas, Técnico em Laboratório ou áreas correlatas, reconhecido pelo MEC ou órgão competente. Quando exigido pela legislação, registro ativo no Conselho Regional de Química (CRQ) ou equivalente.</t>
  </si>
  <si>
    <t>CTRB</t>
  </si>
  <si>
    <t>Licenciatura em Artes, com ênfase em Música, realizada em instituição reconhecida pelo MEC.</t>
  </si>
  <si>
    <t>Docência em Artes – Artes Ensino Fundamental II e Médio</t>
  </si>
  <si>
    <t>Docência em Artes – Música Ensino Fundamental II e Médio</t>
  </si>
  <si>
    <t>Docência em Biologia</t>
  </si>
  <si>
    <t>Licenciatura em Biologia, realizada em instituição reconhecida pelo MEC.</t>
  </si>
  <si>
    <t>Docência em Educação Física</t>
  </si>
  <si>
    <t xml:space="preserve">Licenciatura em Educação Física, realizada em instituição reconhecida pelo MEC. </t>
  </si>
  <si>
    <t>Docência em Ensino Religioso</t>
  </si>
  <si>
    <t>Licenciatura em Educação Religiosa ou Teologia em instituição reconhecida pelo MEC</t>
  </si>
  <si>
    <t>Docência em Física Ensino Fundamental II e Médio</t>
  </si>
  <si>
    <t>Licenciatura em Filosofia, realizada em instituição reconhecida pelo MEC.</t>
  </si>
  <si>
    <t>Docência em Geografia</t>
  </si>
  <si>
    <t>Licenciatura em Geografia, realizada em instituição reconhecida pelo MEC.</t>
  </si>
  <si>
    <t>Docência em História</t>
  </si>
  <si>
    <t>Licenciatura em História, realizada em instituição reconhecida pelo MEC.</t>
  </si>
  <si>
    <t>Docência em Matemática Ensino Fundamental II e Médio</t>
  </si>
  <si>
    <t>Docência em Linguística, Letras e Artes. Ênfase: Linguística e Literatura de Língua Portuguesa</t>
  </si>
  <si>
    <t>Licenciatura em Letras com ênfase em Língua Portuguesa, realizada em instituição reconhecida pelo MEC.</t>
  </si>
  <si>
    <t>Docência em Linguística, Letras e Artes. Ênfase: Linguística e Literatura de Língua Inglesa</t>
  </si>
  <si>
    <t xml:space="preserve">Licenciatura em Letras com ênfase em Língua Inglesa, credenciamento reconhecido pelo MEC. </t>
  </si>
  <si>
    <t>Docência em Química</t>
  </si>
  <si>
    <t>Docência em Sociologia</t>
  </si>
  <si>
    <t>Licenciatura em Sociologia, realizada em instituição reconhecida pelo MEC.</t>
  </si>
  <si>
    <t>Planejar e organizar os serviços técnico-administravos, a utilização de recursos humanos, materiais e financeiros. Propor princípios e normas. Colaborar na produtividade, eficiência e eficácia dos serviços da Instituição.</t>
  </si>
  <si>
    <t>Bacharelado em Administração, realizado em instituição reconhecida pelo MEC e com Registro Ativo no CRA</t>
  </si>
  <si>
    <t>Organizar documentação de arquivos institucionais e pessoais. Dar acesso à informação, conservar acervos. Preparar ações educativas ou culturais, planejar e realizar atividades técnico-administrativas, orientar implantação das atividades técnicas. Assessorar nas atividades de ensino, pesquisa e extensão.</t>
  </si>
  <si>
    <t>Coordenar, supervisionar, orientar e sistematizar as atividades técnicas relativas ao PNAE; Realizar trabalhos de Educação Nutricional em parceria com o Corpo Docente; Planejar, organizar, administrar e avaliar unidades de alimentação e nutrição; Efetuar controle higiênico-sanitário; Participar de programas de educação nutricional; Planejar e elaborar cardápios, baseando-se na observação da aceitação dos alimentos pelos comensais e no estudo dos meios e técnicas de preparação dos mesmos;</t>
  </si>
  <si>
    <t>Ensino Superior em Nutrição e Registro Profissional</t>
  </si>
  <si>
    <t>planejar, executar e avaliar pesquisas que possam contribuir para análise da realidade social e para subsidiar ações profissionais; prestar assessoria e consultoria a Divisão de Ensino e a Direção do CTRB em relação a planos, programas e projetos do âmbito de atuação do Serviço Social; prestar assessoria e apoio aos movimentos sociais em matéria relacionada às políticas sociais no exercício e na defesa dos direitos civis, políticos e sociais da coletividade; planejar, organizar e administrar Serviços Sociais e de Unidade de Serviço Social; coordenar seminários, encontros, congressos e eventos assemelhados sobre assuntos de Serviço Social.</t>
  </si>
  <si>
    <t>Ensino Superior em Serviço Social em instituição reconhecida pelo MEC e Registro Profissional</t>
  </si>
  <si>
    <t>desenvolver estudos, pesquisas e trabalhos de planejamento, coletando os dados em fontes diversas, observando os objetivos a serem alcançados e a disponibilidade existentes, visando o cumprimento das metas estabelecidas; analisar e processar dados, para a construção de instrumentos de coleta com o objetivo de criar banco, e desenvolver sistemas de codificação no planejamento de pesquisas; planejar a coleta, o armazenamento e o processamento de informações e dados com o objetivo e divulgar resultados; desenvolver e aplicar tecnologia adequada de geração de indicadores econômicos referentes aos serviços prestados pelo CTRB; prestar assessoria à área de marketing com atuação direta no processo de monitoração e análise de mercado, nos sistemas de informação, na prospecção e avaliação de oportunidades, na logística da distribuição dos produtos e também nas tomadas de decisões; realizar outras atividades correlatas.</t>
  </si>
  <si>
    <t>Ensino superior em Estatística em instituição reconhecida pelo MEC e com Registro Profissional.</t>
  </si>
  <si>
    <t>Projetar e implementar soluções de cabeamento estruturado para atender às necessidades de conectividade da empresa. Planejar e gerenciar a instalação de racks, patch panels, switches e outros equipamentos de rede. Garantir a conformidade com normas técnicas e melhores práticas na execução dos projetos. Manutenção e Suporte: Realizar a manutenção preventiva e corretiva da infraestrutura de rede e cabeamento. Monitorar o desempenho da rede e identificar possíveis gargalos ou problemas de conectividade. Prestar suporte técnico em questões relacionadas à infraestrutura de TI. Assessorar a Direção do CTRB indicando os melhores aparelhos durante a tomada de decisão.</t>
  </si>
  <si>
    <t>Ensino superior em Análise de Sistemas, Ciência da Computação, Engenharia da Computação, Engenharia de Sistemas, Engenharia de Redes, Informática, Processamento de Dados, Sistemas de Informação, ou outro curso superior completo, em nível de graduação, concluído na área de Tecnologia da Informação, fornecido por instituição de ensino superior reconhecida pelo MEC</t>
  </si>
  <si>
    <t>Assessorar o Diretor do CTRB, (acompanhar em entrevistas, contato com a imprensa, sugestão de pauta; produção de briefings, notas, relatórios, análises e afins); Acompanhamento de reuniões e viagens caso seja acionado pelo Diretor; Mensurar os resultados das ações de comunicação dos projetos; Criação de conteúdo para o site do Colégio e demais materiais de divulgação institucionais; Produção de artes gráficas, gerenciamento e organização de relatórios de redes sociais; Ótima comunicação escrita e verbal, com profundo conhecimento da língua portuguesa.</t>
  </si>
  <si>
    <t>Graduação em Comunicação Social, com bacharelado em Jornalismo, Publicidade, Marketing ou correlatos.</t>
  </si>
  <si>
    <t>Garantir a correta escrituração contábil de todos os atos administrativos e financeiros, assegurar o cumprimento das normas e legislações vigentes, e fornecer informações financeiras precisas para a tomada de decisões. Coordenar e executar atividades contábeis de forma a garantir a transparência, eficiência e legalidade nos processos financeiros da administração municipal, promovendo o controle fiscal, orçamentário e patrimonial de maneira eficiente e eficaz. Conferir toda a documentação contábil para efeito de escrituração, assegurando que todas as transações financeiras estejam devidamente registradas e que os documentos atendam às exigências legais e normativas. Coordenar os serviços gerais de contabilidade no âmbito da Prefeitura Municipal, garantindo que as atividades sejam realizadas conforme os princípios contábeis, legislação vigente e melhores práticas do setor. Classificar e registrar corretamente os documentos de receitas e despesas de acordo com as normas contábeis e orçamentárias, garantindo que os lançamentos sejam feitos de forma precisa e eficiente. Controlar e monitorar a execução orçamentária da Prefeitura Municipal, assegurando que as despesas e receitas estejam dentro dos limites estabelecidos na Lei Orçamentária Anual (LOA), realizando os ajustes necessários em tempo hábil. Preparar e apresentar balanços patrimoniais, balancetes mensais e outros relatórios contábeis e financeiros, conforme a necessidade da administração pública, acompanhando a evolução patrimonial e financeira do município. Elaborar os anexos financeiros e contábeis dos balanços, detalhando as informações que comprovem a conformidade das contas públicas, incluindo as variações orçamentárias e a execução dos recursos. Realizar estudos de impactos financeiros das ações e políticas públicas implementadas, fornecendo informações para a avaliação da viabilidade econômica e financeira de projetos e programas municipais. Prestar consultoria contábil e orientar a gestão sobre a correta aplicação dos recursos públicos, a interpretação da legislação fiscal e tributária, além de sugerir melhorias nos processos e controles internos. Redigir relatórios, pareceres, ofícios, correspondências e outros documentos de sua competência, sempre com precisão técnica e em conformidade com as exigências legais e normativas aplicáveis</t>
  </si>
  <si>
    <t>Bacharel em Ciênias Contábeis e registro no Conselho de Classe</t>
  </si>
  <si>
    <t>Representar judicialmente e/ou extrajudicialmente o CTRB, acompanhando o andamento de processos, apresentando recursos em qualquer instância, comparecendo às audiências e outros atos, cabendo-lhe ainda, nos termos de lei especial, as atividades de consultoria e assessoria, observando a Constituição Federal, leis, códigos, jurisprudência, atos normativos, política pública fixada, e/ou outros documentos, bem como observando os princípios éticos e morais inerentes aos agentes públicos, e seguindo as orientações de seus superiores.</t>
  </si>
  <si>
    <t>Bacharel em Direito e com Registro no Orgão de Classe</t>
  </si>
  <si>
    <t>Bacharelado em Biblioteconomia, devidamente registrado, reconhecido ou revalidado pelo MEC e com Registro Ativo no CRB.</t>
  </si>
  <si>
    <t>Realizar atendimento individual e coletivo aos alunos, o apoio aos professores e pais, a resolução de conflitos e a promoção de um ambiente escolar saudável e inclusivo. Contribuir para a construção de um sistema educacional mais eficaz, acolhedor e capaz de atender às necessidades emocionais e cognitivas de todos os estudantes. Desenvolver e aplicar estratégias de estimulação cognitiva e emocional, visando apoiar o desenvolvimento integral dos alunos e promover sua integração no ambiente escolar. Fomentar a interação entre pais, alunos e professores, atuando como mediador e facilitador do processo de comunicação e colaboração entre todos os envolvidos no processo educacional. Promover um ambiente escolar saudável e inclusivo, ajudando a desenvolver uma cultura de respeito, empatia e cooperação entre os membros da comunidade escolar. Manter e zelar por registros de casos atendidos e evoluções com o sigilo exigido.</t>
  </si>
  <si>
    <t>Ensino Superior em Psicologia e Registro Profissional</t>
  </si>
  <si>
    <t>Organizar e gerenciar os documentos de ensino e os processos educacionais. Acompanhar as demandas documentais do CTRB relativas ao ensino. Assessorar à Chefia da Divisão de Ensino relativa a todos os processos documentais que dizem respeito ao ensino. Coordenar a equipe pedagógica do CTRB. Supervisionar as práticas docentes dos professores propondo melhorias e boas práticas. Coordenar as atividades de ensino, planejamento, orientação, supervisionando e avaliando estas atividades, para assegurar a regularidade do desenvolvimento do processo educativo. Assessorar nas atividades de ensino</t>
  </si>
  <si>
    <t>Licenciatura Plena ou Bacharelado em Pedagogia com Especialização em Psicopedagogia, realizado em instituição reconhecida pelo MEC</t>
  </si>
  <si>
    <t>REMUNERAÇÃO INDIVIDUAL</t>
  </si>
  <si>
    <t>Comunicação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</si>
</sst>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R$&quot;\ #,##0.00;[Red]\-&quot;R$&quot;\ #,##0.00"/>
    <numFmt numFmtId="164" formatCode="_-&quot;R$ &quot;* #,##0.00_-;&quot;-R$ &quot;* #,##0.00_-;_-&quot;R$ &quot;* \-??_-;_-@_-"/>
    <numFmt numFmtId="165" formatCode="_-* #,##0.00_-;\-* #,##0.00_-;_-* \-??_-;_-@_-"/>
  </numFmts>
  <fonts count="20">
    <font>
      <sz val="11"/>
      <color theme="1"/>
      <name val="Aptos Narrow"/>
      <family val="2"/>
      <scheme val="minor"/>
    </font>
    <font>
      <sz val="11"/>
      <color theme="1"/>
      <name val="Calibri"/>
      <family val="2"/>
    </font>
    <font>
      <sz val="12"/>
      <color theme="1"/>
      <name val="Times New Roman"/>
      <family val="1"/>
    </font>
    <font>
      <sz val="11"/>
      <color theme="1"/>
      <name val="Times New Roman"/>
      <family val="1"/>
    </font>
    <font>
      <sz val="11"/>
      <color rgb="FF000000"/>
      <name val="Times New Roman"/>
      <family val="1"/>
    </font>
    <font>
      <b/>
      <sz val="12"/>
      <color rgb="FF000000"/>
      <name val="Liberation Serif"/>
      <family val="1"/>
    </font>
    <font>
      <b/>
      <sz val="12"/>
      <color rgb="FF000000"/>
      <name val="Times New Roman"/>
      <family val="1"/>
    </font>
    <font>
      <sz val="12"/>
      <color rgb="FF000000"/>
      <name val="Times New Roman"/>
      <family val="1"/>
    </font>
    <font>
      <sz val="12"/>
      <color theme="1"/>
      <name val="Aptos Narrow"/>
      <family val="2"/>
      <scheme val="minor"/>
    </font>
    <font>
      <sz val="12"/>
      <color theme="1"/>
      <name val="Calibri"/>
      <family val="2"/>
    </font>
    <font>
      <sz val="12"/>
      <color rgb="FF000000"/>
      <name val="Calibri"/>
      <family val="2"/>
    </font>
    <font>
      <sz val="12"/>
      <color rgb="FF000000"/>
      <name val="Arial"/>
      <family val="2"/>
    </font>
    <font>
      <b/>
      <sz val="12"/>
      <color theme="1"/>
      <name val="Times New Roman"/>
      <family val="1"/>
    </font>
    <font>
      <b/>
      <sz val="12"/>
      <color theme="1"/>
      <name val="Calibri"/>
      <family val="2"/>
    </font>
    <font>
      <sz val="11"/>
      <color theme="1"/>
      <name val="Aptos Narrow"/>
      <family val="2"/>
      <charset val="1"/>
    </font>
    <font>
      <sz val="10"/>
      <color rgb="FF000000"/>
      <name val="Times New Roman"/>
      <family val="1"/>
    </font>
    <font>
      <sz val="12"/>
      <color theme="1"/>
      <name val="Arial"/>
      <family val="2"/>
    </font>
    <font>
      <b/>
      <sz val="12"/>
      <color rgb="FF212529"/>
      <name val="Arial"/>
      <family val="2"/>
    </font>
    <font>
      <sz val="9"/>
      <color theme="1"/>
      <name val="Times New Roman"/>
      <family val="1"/>
    </font>
    <font>
      <sz val="12"/>
      <color rgb="FF212529"/>
      <name val="Arial"/>
      <family val="2"/>
    </font>
  </fonts>
  <fills count="7">
    <fill>
      <patternFill patternType="none"/>
    </fill>
    <fill>
      <patternFill patternType="gray125"/>
    </fill>
    <fill>
      <patternFill patternType="solid">
        <fgColor them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6" tint="0.79998168889431442"/>
        <bgColor indexed="64"/>
      </patternFill>
    </fill>
  </fills>
  <borders count="23">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top/>
      <bottom/>
      <diagonal/>
    </border>
    <border>
      <left/>
      <right/>
      <top style="medium">
        <color rgb="FF000000"/>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thin">
        <color indexed="64"/>
      </left>
      <right/>
      <top/>
      <bottom/>
      <diagonal/>
    </border>
  </borders>
  <cellStyleXfs count="4">
    <xf numFmtId="0" fontId="0" fillId="0" borderId="0"/>
    <xf numFmtId="0" fontId="14" fillId="0" borderId="0"/>
    <xf numFmtId="165" fontId="14" fillId="0" borderId="0" applyBorder="0" applyProtection="0"/>
    <xf numFmtId="164" fontId="14" fillId="0" borderId="0" applyBorder="0" applyProtection="0"/>
  </cellStyleXfs>
  <cellXfs count="129">
    <xf numFmtId="0" fontId="0" fillId="0" borderId="0" xfId="0"/>
    <xf numFmtId="0" fontId="2" fillId="0" borderId="0" xfId="0" applyFont="1" applyAlignment="1">
      <alignment vertical="center"/>
    </xf>
    <xf numFmtId="0" fontId="2" fillId="0" borderId="0" xfId="0" applyFont="1" applyAlignment="1">
      <alignment vertical="center" wrapText="1"/>
    </xf>
    <xf numFmtId="0" fontId="2" fillId="0" borderId="6" xfId="0" applyFont="1" applyBorder="1" applyAlignment="1">
      <alignment vertical="center" wrapText="1"/>
    </xf>
    <xf numFmtId="0" fontId="3" fillId="0" borderId="5" xfId="0" applyFont="1" applyBorder="1" applyAlignment="1">
      <alignment vertical="center" wrapText="1"/>
    </xf>
    <xf numFmtId="0" fontId="3" fillId="0" borderId="7" xfId="0" applyFont="1" applyBorder="1" applyAlignment="1">
      <alignment vertical="center" wrapText="1"/>
    </xf>
    <xf numFmtId="0" fontId="3" fillId="0" borderId="7" xfId="0" applyFont="1" applyBorder="1" applyAlignment="1">
      <alignment horizontal="center" vertical="center" wrapText="1"/>
    </xf>
    <xf numFmtId="8" fontId="4" fillId="0" borderId="7" xfId="0" applyNumberFormat="1" applyFont="1" applyBorder="1" applyAlignment="1">
      <alignment horizontal="center" vertical="center" wrapText="1"/>
    </xf>
    <xf numFmtId="0" fontId="1" fillId="0" borderId="7" xfId="0" applyFont="1" applyBorder="1" applyAlignment="1">
      <alignment horizontal="center" vertical="center" wrapText="1"/>
    </xf>
    <xf numFmtId="0" fontId="4" fillId="0" borderId="5" xfId="0" applyFont="1" applyBorder="1" applyAlignment="1">
      <alignment vertical="center" wrapText="1"/>
    </xf>
    <xf numFmtId="0" fontId="3" fillId="0" borderId="5" xfId="0" applyFont="1" applyBorder="1" applyAlignment="1">
      <alignment horizontal="justify" vertical="center" wrapText="1"/>
    </xf>
    <xf numFmtId="0" fontId="2" fillId="0" borderId="5" xfId="0" applyFont="1" applyBorder="1" applyAlignment="1">
      <alignment vertical="center" wrapText="1"/>
    </xf>
    <xf numFmtId="8" fontId="3" fillId="0" borderId="7" xfId="0" applyNumberFormat="1" applyFont="1" applyBorder="1" applyAlignment="1">
      <alignment horizontal="center" vertical="center" wrapText="1"/>
    </xf>
    <xf numFmtId="0" fontId="5" fillId="0" borderId="0" xfId="0" applyFont="1" applyAlignment="1">
      <alignment horizontal="center" vertical="center"/>
    </xf>
    <xf numFmtId="0" fontId="7" fillId="0" borderId="0" xfId="0" applyFont="1" applyAlignment="1">
      <alignment horizontal="center" vertical="center"/>
    </xf>
    <xf numFmtId="0" fontId="8" fillId="0" borderId="0" xfId="0" applyFont="1"/>
    <xf numFmtId="0" fontId="6" fillId="0" borderId="0" xfId="0" applyFont="1" applyAlignment="1">
      <alignment horizontal="center" vertical="center"/>
    </xf>
    <xf numFmtId="0" fontId="7" fillId="0" borderId="3" xfId="0" applyFont="1" applyBorder="1" applyAlignment="1">
      <alignment horizontal="center" vertical="center" wrapText="1"/>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5" xfId="0" applyFont="1" applyBorder="1" applyAlignment="1">
      <alignment vertical="center" wrapText="1"/>
    </xf>
    <xf numFmtId="8" fontId="7" fillId="0" borderId="7" xfId="0" applyNumberFormat="1" applyFont="1" applyBorder="1" applyAlignment="1">
      <alignment horizontal="center" vertical="center" wrapText="1"/>
    </xf>
    <xf numFmtId="0" fontId="9" fillId="0" borderId="7" xfId="0" applyFont="1" applyBorder="1" applyAlignment="1">
      <alignment horizontal="center" vertical="center" wrapText="1"/>
    </xf>
    <xf numFmtId="0" fontId="7" fillId="0" borderId="2" xfId="0" applyFont="1" applyBorder="1" applyAlignment="1">
      <alignment horizontal="center" vertical="center" wrapText="1"/>
    </xf>
    <xf numFmtId="0" fontId="10" fillId="0" borderId="0" xfId="0" applyFont="1" applyAlignment="1">
      <alignment horizontal="center" vertical="center"/>
    </xf>
    <xf numFmtId="0" fontId="7" fillId="0" borderId="1" xfId="0" applyFont="1" applyBorder="1" applyAlignment="1">
      <alignment horizontal="center" vertical="center" wrapText="1"/>
    </xf>
    <xf numFmtId="0" fontId="9" fillId="0" borderId="0" xfId="0" applyFont="1" applyAlignment="1">
      <alignment vertical="center" wrapText="1"/>
    </xf>
    <xf numFmtId="0" fontId="7" fillId="0" borderId="13" xfId="0" applyFont="1" applyBorder="1" applyAlignment="1">
      <alignment horizontal="center" vertical="center" wrapText="1"/>
    </xf>
    <xf numFmtId="0" fontId="7" fillId="0" borderId="6" xfId="0" applyFont="1" applyBorder="1" applyAlignment="1">
      <alignment horizontal="center" vertical="center" wrapText="1"/>
    </xf>
    <xf numFmtId="0" fontId="7" fillId="0" borderId="6" xfId="0" applyFont="1" applyBorder="1" applyAlignment="1">
      <alignment vertical="center" wrapText="1"/>
    </xf>
    <xf numFmtId="8" fontId="7" fillId="0" borderId="6" xfId="0" applyNumberFormat="1" applyFont="1" applyBorder="1" applyAlignment="1">
      <alignment horizontal="center" vertical="center" wrapText="1"/>
    </xf>
    <xf numFmtId="8" fontId="7" fillId="0" borderId="5" xfId="0" applyNumberFormat="1" applyFont="1" applyBorder="1" applyAlignment="1">
      <alignment horizontal="center" vertical="center" wrapText="1"/>
    </xf>
    <xf numFmtId="0" fontId="7" fillId="0" borderId="0" xfId="0" applyFont="1" applyAlignment="1">
      <alignment vertical="center"/>
    </xf>
    <xf numFmtId="0" fontId="9" fillId="0" borderId="0" xfId="0" applyFont="1" applyAlignment="1">
      <alignment horizontal="center" vertical="center"/>
    </xf>
    <xf numFmtId="0" fontId="7" fillId="0" borderId="13" xfId="0" applyFont="1" applyBorder="1" applyAlignment="1">
      <alignment vertical="center" wrapText="1"/>
    </xf>
    <xf numFmtId="0" fontId="2" fillId="0" borderId="6" xfId="0" applyFont="1" applyBorder="1" applyAlignment="1">
      <alignment horizontal="justify" vertical="center" wrapText="1"/>
    </xf>
    <xf numFmtId="8" fontId="11" fillId="0" borderId="6" xfId="0" applyNumberFormat="1" applyFont="1" applyBorder="1" applyAlignment="1">
      <alignment horizontal="center" vertical="center" wrapText="1"/>
    </xf>
    <xf numFmtId="0" fontId="12" fillId="0" borderId="0" xfId="0" applyFont="1" applyAlignment="1">
      <alignment horizontal="center" vertical="center"/>
    </xf>
    <xf numFmtId="0" fontId="13" fillId="0" borderId="0" xfId="0" applyFont="1" applyAlignment="1">
      <alignment horizontal="center" vertical="center"/>
    </xf>
    <xf numFmtId="0" fontId="10" fillId="0" borderId="0" xfId="0" applyFont="1" applyAlignment="1">
      <alignment vertical="center"/>
    </xf>
    <xf numFmtId="0" fontId="9" fillId="0" borderId="0" xfId="0" applyFont="1" applyAlignment="1">
      <alignment vertical="center"/>
    </xf>
    <xf numFmtId="0" fontId="3" fillId="0" borderId="15" xfId="0" applyFont="1" applyBorder="1" applyAlignment="1">
      <alignment horizontal="left" vertical="center"/>
    </xf>
    <xf numFmtId="0" fontId="3" fillId="0" borderId="0" xfId="0" applyFont="1" applyAlignment="1">
      <alignment horizontal="center" vertical="center"/>
    </xf>
    <xf numFmtId="0" fontId="3" fillId="0" borderId="15" xfId="0" applyFont="1" applyBorder="1" applyAlignment="1">
      <alignment horizontal="center" vertical="center"/>
    </xf>
    <xf numFmtId="0" fontId="3" fillId="0" borderId="0" xfId="0" applyFont="1" applyAlignment="1">
      <alignment horizontal="left" vertical="center"/>
    </xf>
    <xf numFmtId="0" fontId="0" fillId="3" borderId="15" xfId="0" applyFill="1" applyBorder="1" applyAlignment="1">
      <alignment horizontal="center" vertical="center"/>
    </xf>
    <xf numFmtId="0" fontId="0" fillId="0" borderId="15" xfId="0" applyBorder="1"/>
    <xf numFmtId="0" fontId="0" fillId="0" borderId="15" xfId="0" applyBorder="1" applyAlignment="1">
      <alignment horizontal="center" vertical="center"/>
    </xf>
    <xf numFmtId="0" fontId="0" fillId="0" borderId="0" xfId="0" applyAlignment="1">
      <alignment horizontal="center" vertical="center"/>
    </xf>
    <xf numFmtId="0" fontId="0" fillId="4" borderId="0" xfId="0" applyFill="1" applyAlignment="1" applyProtection="1">
      <alignment horizontal="center" vertical="center"/>
      <protection locked="0"/>
    </xf>
    <xf numFmtId="0" fontId="0" fillId="4" borderId="0" xfId="0" applyFill="1" applyAlignment="1">
      <alignment horizontal="center" vertical="center"/>
    </xf>
    <xf numFmtId="0" fontId="0" fillId="0" borderId="0" xfId="0" applyAlignment="1">
      <alignment horizontal="left" vertical="center"/>
    </xf>
    <xf numFmtId="0" fontId="0" fillId="0" borderId="0" xfId="0" applyAlignment="1">
      <alignment horizontal="right" vertical="center"/>
    </xf>
    <xf numFmtId="0" fontId="0" fillId="3" borderId="0" xfId="0" applyFill="1" applyAlignment="1">
      <alignment horizontal="center" vertical="center"/>
    </xf>
    <xf numFmtId="0" fontId="7" fillId="0" borderId="15" xfId="0" applyFont="1" applyBorder="1" applyAlignment="1">
      <alignment horizontal="center" vertical="center" wrapText="1"/>
    </xf>
    <xf numFmtId="8" fontId="7" fillId="0" borderId="15" xfId="0" applyNumberFormat="1" applyFont="1" applyBorder="1" applyAlignment="1">
      <alignment horizontal="center" vertical="center" wrapText="1"/>
    </xf>
    <xf numFmtId="0" fontId="2" fillId="0" borderId="0" xfId="0" applyFont="1" applyAlignment="1">
      <alignment horizontal="center"/>
    </xf>
    <xf numFmtId="0" fontId="7" fillId="0" borderId="15" xfId="0" applyFont="1" applyBorder="1" applyAlignment="1">
      <alignment horizontal="center" vertical="center"/>
    </xf>
    <xf numFmtId="0" fontId="2" fillId="0" borderId="15" xfId="0" applyFont="1" applyBorder="1" applyAlignment="1">
      <alignment horizontal="center"/>
    </xf>
    <xf numFmtId="0" fontId="3" fillId="2" borderId="16" xfId="0" applyFont="1" applyFill="1" applyBorder="1" applyAlignment="1">
      <alignment horizontal="center" vertical="center"/>
    </xf>
    <xf numFmtId="0" fontId="3" fillId="2" borderId="17" xfId="0" applyFont="1" applyFill="1" applyBorder="1" applyAlignment="1">
      <alignment horizontal="center" vertical="center"/>
    </xf>
    <xf numFmtId="0" fontId="3" fillId="0" borderId="19" xfId="0" applyFont="1" applyBorder="1" applyAlignment="1">
      <alignment horizontal="center" vertical="center"/>
    </xf>
    <xf numFmtId="0" fontId="3" fillId="0" borderId="19" xfId="0" applyFont="1" applyBorder="1" applyAlignment="1">
      <alignment horizontal="left" vertical="center"/>
    </xf>
    <xf numFmtId="0" fontId="3" fillId="0" borderId="15" xfId="0" applyFont="1" applyBorder="1" applyAlignment="1">
      <alignment vertical="center"/>
    </xf>
    <xf numFmtId="0" fontId="3" fillId="0" borderId="19" xfId="0" applyFont="1" applyBorder="1" applyAlignment="1">
      <alignment vertical="center"/>
    </xf>
    <xf numFmtId="0" fontId="3" fillId="0" borderId="0" xfId="0" applyFont="1" applyAlignment="1">
      <alignment vertical="center"/>
    </xf>
    <xf numFmtId="0" fontId="3" fillId="0" borderId="18" xfId="0" applyFont="1" applyBorder="1" applyAlignment="1">
      <alignment horizontal="center" vertical="center"/>
    </xf>
    <xf numFmtId="0" fontId="0" fillId="0" borderId="0" xfId="0" applyAlignment="1">
      <alignment horizontal="center"/>
    </xf>
    <xf numFmtId="0" fontId="0" fillId="0" borderId="15" xfId="0" applyBorder="1" applyAlignment="1">
      <alignment horizontal="center"/>
    </xf>
    <xf numFmtId="0" fontId="16" fillId="0" borderId="0" xfId="0" applyFont="1"/>
    <xf numFmtId="0" fontId="17" fillId="5" borderId="15" xfId="0" applyFont="1" applyFill="1" applyBorder="1" applyAlignment="1">
      <alignment horizontal="center" vertical="top"/>
    </xf>
    <xf numFmtId="4" fontId="18" fillId="0" borderId="15" xfId="0" applyNumberFormat="1" applyFont="1" applyBorder="1" applyAlignment="1" applyProtection="1">
      <alignment horizontal="center" vertical="center"/>
      <protection locked="0"/>
    </xf>
    <xf numFmtId="4" fontId="19" fillId="0" borderId="15" xfId="0" applyNumberFormat="1" applyFont="1" applyBorder="1" applyAlignment="1">
      <alignment horizontal="center" vertical="center"/>
    </xf>
    <xf numFmtId="4" fontId="16" fillId="0" borderId="0" xfId="0" applyNumberFormat="1" applyFont="1"/>
    <xf numFmtId="2" fontId="7" fillId="0" borderId="15" xfId="0" applyNumberFormat="1" applyFont="1" applyBorder="1" applyAlignment="1">
      <alignment horizontal="center" vertical="center" wrapText="1"/>
    </xf>
    <xf numFmtId="0" fontId="2" fillId="6" borderId="0" xfId="0" applyFont="1" applyFill="1" applyAlignment="1">
      <alignment horizontal="center" vertical="center"/>
    </xf>
    <xf numFmtId="0" fontId="3" fillId="0" borderId="15" xfId="0" applyFont="1" applyBorder="1"/>
    <xf numFmtId="0" fontId="4" fillId="0" borderId="15" xfId="0" applyFont="1" applyBorder="1" applyAlignment="1">
      <alignment horizontal="left" vertical="center"/>
    </xf>
    <xf numFmtId="0" fontId="3" fillId="2" borderId="17" xfId="0" applyFont="1" applyFill="1" applyBorder="1" applyAlignment="1">
      <alignment horizontal="left" vertical="center"/>
    </xf>
    <xf numFmtId="0" fontId="15" fillId="0" borderId="20" xfId="0" applyFont="1" applyBorder="1" applyAlignment="1">
      <alignment horizontal="center" vertical="center"/>
    </xf>
    <xf numFmtId="8" fontId="4" fillId="0" borderId="2" xfId="0" applyNumberFormat="1" applyFont="1" applyBorder="1" applyAlignment="1">
      <alignment horizontal="center" vertical="center" wrapText="1"/>
    </xf>
    <xf numFmtId="8" fontId="4" fillId="0" borderId="3" xfId="0" applyNumberFormat="1" applyFont="1" applyBorder="1" applyAlignment="1">
      <alignment horizontal="center" vertical="center" wrapText="1"/>
    </xf>
    <xf numFmtId="8" fontId="3" fillId="0" borderId="2" xfId="0" applyNumberFormat="1" applyFont="1" applyBorder="1" applyAlignment="1">
      <alignment horizontal="center" vertical="center" wrapText="1"/>
    </xf>
    <xf numFmtId="8" fontId="3" fillId="0" borderId="3" xfId="0" applyNumberFormat="1" applyFont="1" applyBorder="1" applyAlignment="1">
      <alignment horizontal="center"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9"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7" xfId="0" applyFont="1" applyBorder="1" applyAlignment="1">
      <alignment horizontal="center" vertical="center" wrapText="1"/>
    </xf>
    <xf numFmtId="8" fontId="7" fillId="0" borderId="2" xfId="0" applyNumberFormat="1" applyFont="1" applyBorder="1" applyAlignment="1">
      <alignment horizontal="center" vertical="center" wrapText="1"/>
    </xf>
    <xf numFmtId="8" fontId="7" fillId="0" borderId="4" xfId="0" applyNumberFormat="1" applyFont="1" applyBorder="1" applyAlignment="1">
      <alignment horizontal="center" vertical="center" wrapText="1"/>
    </xf>
    <xf numFmtId="8" fontId="7" fillId="0" borderId="3" xfId="0" applyNumberFormat="1" applyFont="1" applyBorder="1" applyAlignment="1">
      <alignment horizontal="center" vertical="center" wrapText="1"/>
    </xf>
    <xf numFmtId="0" fontId="9" fillId="0" borderId="13" xfId="0" applyFont="1" applyBorder="1" applyAlignment="1">
      <alignment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7" fillId="0" borderId="10" xfId="0" applyFont="1" applyBorder="1" applyAlignment="1">
      <alignment horizontal="center" vertical="center" wrapText="1"/>
    </xf>
    <xf numFmtId="0" fontId="9" fillId="0" borderId="0" xfId="0" applyFont="1" applyAlignment="1">
      <alignment vertical="center" wrapText="1"/>
    </xf>
    <xf numFmtId="0" fontId="7" fillId="0" borderId="4" xfId="0" applyFont="1" applyBorder="1" applyAlignment="1">
      <alignment horizontal="center" vertical="center" wrapText="1"/>
    </xf>
    <xf numFmtId="8" fontId="7" fillId="0" borderId="9" xfId="0" applyNumberFormat="1" applyFont="1" applyBorder="1" applyAlignment="1">
      <alignment horizontal="center" vertical="center" wrapText="1"/>
    </xf>
    <xf numFmtId="8" fontId="7" fillId="0" borderId="5" xfId="0" applyNumberFormat="1" applyFont="1" applyBorder="1" applyAlignment="1">
      <alignment horizontal="center" vertical="center" wrapText="1"/>
    </xf>
    <xf numFmtId="8" fontId="7" fillId="0" borderId="12" xfId="0" applyNumberFormat="1" applyFont="1" applyBorder="1" applyAlignment="1">
      <alignment horizontal="center" vertical="center" wrapText="1"/>
    </xf>
    <xf numFmtId="8" fontId="7" fillId="0" borderId="11" xfId="0" applyNumberFormat="1" applyFont="1" applyBorder="1" applyAlignment="1">
      <alignment horizontal="center" vertical="center" wrapText="1"/>
    </xf>
    <xf numFmtId="8" fontId="7" fillId="0" borderId="6" xfId="0" applyNumberFormat="1" applyFont="1" applyBorder="1" applyAlignment="1">
      <alignment horizontal="center" vertical="center" wrapText="1"/>
    </xf>
    <xf numFmtId="8" fontId="7" fillId="0" borderId="7" xfId="0" applyNumberFormat="1" applyFont="1" applyBorder="1" applyAlignment="1">
      <alignment horizontal="center" vertical="center" wrapText="1"/>
    </xf>
    <xf numFmtId="0" fontId="9" fillId="0" borderId="12" xfId="0" applyFont="1" applyBorder="1" applyAlignment="1">
      <alignment vertical="center" wrapText="1"/>
    </xf>
    <xf numFmtId="0" fontId="9" fillId="0" borderId="14" xfId="0" applyFont="1" applyBorder="1" applyAlignment="1">
      <alignment vertical="center" wrapText="1"/>
    </xf>
    <xf numFmtId="0" fontId="0" fillId="2" borderId="0" xfId="0" applyFill="1" applyAlignment="1">
      <alignment horizontal="center" vertical="center"/>
    </xf>
    <xf numFmtId="0" fontId="0" fillId="2" borderId="21" xfId="0" applyFill="1" applyBorder="1" applyAlignment="1">
      <alignment horizontal="center" vertical="center"/>
    </xf>
    <xf numFmtId="0" fontId="7" fillId="0" borderId="15" xfId="0" applyFont="1" applyBorder="1" applyAlignment="1">
      <alignment horizontal="center" vertical="center" wrapText="1"/>
    </xf>
    <xf numFmtId="0" fontId="12" fillId="0" borderId="15" xfId="0" applyFont="1" applyBorder="1" applyAlignment="1">
      <alignment horizontal="center" vertical="center" wrapText="1"/>
    </xf>
    <xf numFmtId="0" fontId="2" fillId="6" borderId="15" xfId="0" applyFont="1" applyFill="1" applyBorder="1" applyAlignment="1">
      <alignment horizontal="center" vertical="center"/>
    </xf>
    <xf numFmtId="0" fontId="2" fillId="6" borderId="15" xfId="0" applyFont="1" applyFill="1" applyBorder="1" applyAlignment="1">
      <alignment horizontal="center" vertical="center" wrapText="1"/>
    </xf>
    <xf numFmtId="0" fontId="2" fillId="0" borderId="22" xfId="0" applyFont="1" applyBorder="1" applyAlignment="1">
      <alignment horizontal="center" vertical="center" wrapText="1"/>
    </xf>
    <xf numFmtId="0" fontId="2" fillId="0" borderId="15" xfId="0" applyFont="1" applyBorder="1" applyAlignment="1">
      <alignment horizontal="center" vertical="center"/>
    </xf>
    <xf numFmtId="0" fontId="2" fillId="3" borderId="15" xfId="0" applyFont="1" applyFill="1" applyBorder="1" applyAlignment="1">
      <alignment horizontal="center" vertical="center" wrapText="1"/>
    </xf>
    <xf numFmtId="0" fontId="2" fillId="3" borderId="15" xfId="0" applyFont="1" applyFill="1" applyBorder="1" applyAlignment="1">
      <alignment horizontal="center" vertical="center"/>
    </xf>
  </cellXfs>
  <cellStyles count="4">
    <cellStyle name="Moeda 2" xfId="3" xr:uid="{2C6DE481-FB37-409C-86D7-59CC575829C0}"/>
    <cellStyle name="Normal" xfId="0" builtinId="0"/>
    <cellStyle name="Normal 2" xfId="1" xr:uid="{7D084B4C-46A3-48DA-8B0F-E03955807888}"/>
    <cellStyle name="Vírgula 2" xfId="2" xr:uid="{95721AF3-64EE-4840-B995-7BC6ED836AC3}"/>
  </cellStyles>
  <dxfs count="14">
    <dxf>
      <fill>
        <patternFill>
          <bgColor theme="9" tint="0.59996337778862885"/>
        </patternFill>
      </fill>
    </dxf>
    <dxf>
      <fill>
        <patternFill>
          <bgColor theme="9" tint="0.59996337778862885"/>
        </patternFill>
      </fill>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family val="1"/>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family val="1"/>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family val="1"/>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family val="1"/>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family val="1"/>
        <scheme val="none"/>
      </font>
      <alignment horizontal="center"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theme="1"/>
        <name val="Times New Roman"/>
        <family val="1"/>
        <scheme val="none"/>
      </font>
      <fill>
        <patternFill patternType="solid">
          <fgColor indexed="64"/>
          <bgColor theme="2"/>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19</xdr:col>
      <xdr:colOff>295275</xdr:colOff>
      <xdr:row>7</xdr:row>
      <xdr:rowOff>66675</xdr:rowOff>
    </xdr:from>
    <xdr:to>
      <xdr:col>19</xdr:col>
      <xdr:colOff>295275</xdr:colOff>
      <xdr:row>9</xdr:row>
      <xdr:rowOff>133350</xdr:rowOff>
    </xdr:to>
    <xdr:cxnSp macro="">
      <xdr:nvCxnSpPr>
        <xdr:cNvPr id="3" name="Conector de Seta Reta 2">
          <a:extLst>
            <a:ext uri="{FF2B5EF4-FFF2-40B4-BE49-F238E27FC236}">
              <a16:creationId xmlns:a16="http://schemas.microsoft.com/office/drawing/2014/main" id="{C50D12AC-729B-EF32-A8D8-FA7EEBC6CD55}"/>
            </a:ext>
          </a:extLst>
        </xdr:cNvPr>
        <xdr:cNvCxnSpPr/>
      </xdr:nvCxnSpPr>
      <xdr:spPr>
        <a:xfrm>
          <a:off x="10410825" y="1266825"/>
          <a:ext cx="0" cy="4667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209550</xdr:colOff>
      <xdr:row>10</xdr:row>
      <xdr:rowOff>95250</xdr:rowOff>
    </xdr:from>
    <xdr:to>
      <xdr:col>18</xdr:col>
      <xdr:colOff>438150</xdr:colOff>
      <xdr:row>10</xdr:row>
      <xdr:rowOff>95250</xdr:rowOff>
    </xdr:to>
    <xdr:cxnSp macro="">
      <xdr:nvCxnSpPr>
        <xdr:cNvPr id="4" name="Conector de Seta Reta 3">
          <a:extLst>
            <a:ext uri="{FF2B5EF4-FFF2-40B4-BE49-F238E27FC236}">
              <a16:creationId xmlns:a16="http://schemas.microsoft.com/office/drawing/2014/main" id="{DCCA4AD3-F000-4B24-BF04-4DAA9F6970B6}"/>
            </a:ext>
          </a:extLst>
        </xdr:cNvPr>
        <xdr:cNvCxnSpPr/>
      </xdr:nvCxnSpPr>
      <xdr:spPr>
        <a:xfrm>
          <a:off x="8372475" y="1895475"/>
          <a:ext cx="157162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F4DF2AA-34CD-4CDB-8AB8-09F3C60AE585}" name="Tabela3" displayName="Tabela3" ref="A1:G146" totalsRowShown="0" headerRowDxfId="13" dataDxfId="11" headerRowBorderDxfId="12" tableBorderDxfId="10" totalsRowBorderDxfId="9">
  <autoFilter ref="A1:G146" xr:uid="{0C6123E8-53BB-4B9F-A35F-4E29498446BF}"/>
  <sortState xmlns:xlrd2="http://schemas.microsoft.com/office/spreadsheetml/2017/richdata2" ref="A38:G50">
    <sortCondition ref="B1:B90"/>
  </sortState>
  <tableColumns count="7">
    <tableColumn id="1" xr3:uid="{587E2BBC-01F3-41F2-9C20-EDA83C6F9718}" name="OM" dataDxfId="8"/>
    <tableColumn id="2" xr3:uid="{D1EDA7CC-1226-48E5-B680-FBB6C5DC6844}" name="CARGOS" dataDxfId="7"/>
    <tableColumn id="4" xr3:uid="{4DF7B1EC-654E-4A4D-B733-853185D4CB54}" name="NÍVEL" dataDxfId="6"/>
    <tableColumn id="5" xr3:uid="{C570357A-C001-46FF-B107-E0CFF5B784CF}" name="ATIVIDADE" dataDxfId="5"/>
    <tableColumn id="6" xr3:uid="{8F852DBF-BA62-44CA-8542-5AA47ECB909A}" name="REQUESITOS" dataDxfId="4"/>
    <tableColumn id="3" xr3:uid="{38D9C3E9-FC29-467D-9418-FD55114A843F}" name="REMUNERAÇÃO INDIVIDUAL" dataDxfId="3">
      <calculatedColumnFormula>INDEX(CUSTO!$F$4:$F$38,MATCH(Tabela3[[#This Row],[CARGOS]],CUSTO!$A$4:$A$38,0))</calculatedColumnFormula>
    </tableColumn>
    <tableColumn id="7" xr3:uid="{9CF2D53E-0E4E-4F6E-9E3F-1339FAEFD06A}" name="QTD"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0CFAF-5D8D-40FB-AF10-10CA53D86B42}">
  <dimension ref="B4:H40"/>
  <sheetViews>
    <sheetView topLeftCell="A12" workbookViewId="0">
      <selection activeCell="M8" sqref="M8"/>
    </sheetView>
  </sheetViews>
  <sheetFormatPr baseColWidth="10" defaultColWidth="8.83203125" defaultRowHeight="15"/>
  <cols>
    <col min="2" max="2" width="30" bestFit="1" customWidth="1"/>
    <col min="6" max="6" width="14.6640625" bestFit="1" customWidth="1"/>
    <col min="7" max="8" width="15.6640625" bestFit="1" customWidth="1"/>
  </cols>
  <sheetData>
    <row r="4" spans="2:8" ht="17" thickBot="1">
      <c r="B4" s="1" t="s">
        <v>0</v>
      </c>
    </row>
    <row r="5" spans="2:8" ht="47.25" customHeight="1" thickBot="1">
      <c r="B5" s="84" t="s">
        <v>1</v>
      </c>
      <c r="C5" s="85"/>
      <c r="D5" s="86" t="s">
        <v>2</v>
      </c>
      <c r="E5" s="87"/>
      <c r="F5" s="87"/>
      <c r="G5" s="87"/>
      <c r="H5" s="88"/>
    </row>
    <row r="6" spans="2:8" ht="31.5" customHeight="1" thickBot="1">
      <c r="B6" s="84" t="s">
        <v>3</v>
      </c>
      <c r="C6" s="85"/>
      <c r="D6" s="86">
        <v>41066</v>
      </c>
      <c r="E6" s="87"/>
      <c r="F6" s="87"/>
      <c r="G6" s="87"/>
      <c r="H6" s="88"/>
    </row>
    <row r="7" spans="2:8" ht="31.5" customHeight="1" thickBot="1">
      <c r="B7" s="84" t="s">
        <v>4</v>
      </c>
      <c r="C7" s="85"/>
      <c r="D7" s="86">
        <v>48</v>
      </c>
      <c r="E7" s="87"/>
      <c r="F7" s="87"/>
      <c r="G7" s="87"/>
      <c r="H7" s="88"/>
    </row>
    <row r="8" spans="2:8" ht="31.5" customHeight="1" thickBot="1">
      <c r="B8" s="84" t="s">
        <v>5</v>
      </c>
      <c r="C8" s="85"/>
      <c r="D8" s="86">
        <v>145</v>
      </c>
      <c r="E8" s="87"/>
      <c r="F8" s="87"/>
      <c r="G8" s="87"/>
      <c r="H8" s="88"/>
    </row>
    <row r="9" spans="2:8" ht="17" thickBot="1">
      <c r="B9" s="84" t="s">
        <v>6</v>
      </c>
      <c r="C9" s="89"/>
      <c r="D9" s="89"/>
      <c r="E9" s="85"/>
      <c r="F9" s="86" t="s">
        <v>7</v>
      </c>
      <c r="G9" s="87"/>
      <c r="H9" s="88"/>
    </row>
    <row r="10" spans="2:8" ht="16" thickBot="1">
      <c r="B10" s="4" t="s">
        <v>8</v>
      </c>
      <c r="C10" s="90" t="s">
        <v>9</v>
      </c>
      <c r="D10" s="91"/>
      <c r="E10" s="5" t="s">
        <v>10</v>
      </c>
      <c r="F10" s="6">
        <v>2026</v>
      </c>
      <c r="G10" s="6">
        <v>2027</v>
      </c>
      <c r="H10" s="6">
        <v>2028</v>
      </c>
    </row>
    <row r="11" spans="2:8" ht="16" thickBot="1">
      <c r="B11" s="4" t="s">
        <v>11</v>
      </c>
      <c r="C11" s="82">
        <v>7159.87</v>
      </c>
      <c r="D11" s="83"/>
      <c r="E11" s="6">
        <v>1</v>
      </c>
      <c r="F11" s="7">
        <v>86769.43</v>
      </c>
      <c r="G11" s="7">
        <v>118333.49</v>
      </c>
      <c r="H11" s="7">
        <v>118333.49</v>
      </c>
    </row>
    <row r="12" spans="2:8" ht="16" thickBot="1">
      <c r="B12" s="4" t="s">
        <v>12</v>
      </c>
      <c r="C12" s="82">
        <v>7159.87</v>
      </c>
      <c r="D12" s="83"/>
      <c r="E12" s="6">
        <v>1</v>
      </c>
      <c r="F12" s="7">
        <v>86769.43</v>
      </c>
      <c r="G12" s="7">
        <v>118333.49</v>
      </c>
      <c r="H12" s="7">
        <v>118333.49</v>
      </c>
    </row>
    <row r="13" spans="2:8" ht="16" thickBot="1">
      <c r="B13" s="4" t="s">
        <v>13</v>
      </c>
      <c r="C13" s="80">
        <v>13753.96</v>
      </c>
      <c r="D13" s="81"/>
      <c r="E13" s="6">
        <v>34</v>
      </c>
      <c r="F13" s="7">
        <v>5448096.4199999999</v>
      </c>
      <c r="G13" s="7">
        <v>7446709.5800000001</v>
      </c>
      <c r="H13" s="7">
        <v>7446709.5800000001</v>
      </c>
    </row>
    <row r="14" spans="2:8" ht="16" thickBot="1">
      <c r="B14" s="4" t="s">
        <v>14</v>
      </c>
      <c r="C14" s="82">
        <v>7159.87</v>
      </c>
      <c r="D14" s="83"/>
      <c r="E14" s="6">
        <v>2</v>
      </c>
      <c r="F14" s="7">
        <v>173538.86</v>
      </c>
      <c r="G14" s="7">
        <v>236666.98</v>
      </c>
      <c r="H14" s="7">
        <v>236666.98</v>
      </c>
    </row>
    <row r="15" spans="2:8" ht="16" thickBot="1">
      <c r="B15" s="4" t="s">
        <v>15</v>
      </c>
      <c r="C15" s="80">
        <v>5613.57</v>
      </c>
      <c r="D15" s="81"/>
      <c r="E15" s="8">
        <v>1</v>
      </c>
      <c r="F15" s="7">
        <v>69582.94</v>
      </c>
      <c r="G15" s="7">
        <v>94856.06</v>
      </c>
      <c r="H15" s="7">
        <v>94856.06</v>
      </c>
    </row>
    <row r="16" spans="2:8" ht="16" thickBot="1">
      <c r="B16" s="9" t="s">
        <v>16</v>
      </c>
      <c r="C16" s="80">
        <v>5613.57</v>
      </c>
      <c r="D16" s="81"/>
      <c r="E16" s="8">
        <v>1</v>
      </c>
      <c r="F16" s="7">
        <v>69582.94</v>
      </c>
      <c r="G16" s="7">
        <v>94856.06</v>
      </c>
      <c r="H16" s="7">
        <v>94856.06</v>
      </c>
    </row>
    <row r="17" spans="2:8" ht="16" thickBot="1">
      <c r="B17" s="4" t="s">
        <v>17</v>
      </c>
      <c r="C17" s="80">
        <v>5613.57</v>
      </c>
      <c r="D17" s="81"/>
      <c r="E17" s="8">
        <v>1</v>
      </c>
      <c r="F17" s="7">
        <v>69582.94</v>
      </c>
      <c r="G17" s="7">
        <v>94856.06</v>
      </c>
      <c r="H17" s="7">
        <v>94856.06</v>
      </c>
    </row>
    <row r="18" spans="2:8" ht="16" thickBot="1">
      <c r="B18" s="4" t="s">
        <v>18</v>
      </c>
      <c r="C18" s="80">
        <v>5613.57</v>
      </c>
      <c r="D18" s="81"/>
      <c r="E18" s="8">
        <v>1</v>
      </c>
      <c r="F18" s="7">
        <v>69582.94</v>
      </c>
      <c r="G18" s="7">
        <v>94856.06</v>
      </c>
      <c r="H18" s="7">
        <v>94856.06</v>
      </c>
    </row>
    <row r="19" spans="2:8" ht="16" thickBot="1">
      <c r="B19" s="10" t="s">
        <v>19</v>
      </c>
      <c r="C19" s="80">
        <v>5613.57</v>
      </c>
      <c r="D19" s="81"/>
      <c r="E19" s="8">
        <v>1</v>
      </c>
      <c r="F19" s="7">
        <v>69582.94</v>
      </c>
      <c r="G19" s="7">
        <v>94856.06</v>
      </c>
      <c r="H19" s="7">
        <v>94856.06</v>
      </c>
    </row>
    <row r="20" spans="2:8" ht="16" thickBot="1">
      <c r="B20" s="10" t="s">
        <v>20</v>
      </c>
      <c r="C20" s="82">
        <v>7159.87</v>
      </c>
      <c r="D20" s="83"/>
      <c r="E20" s="8">
        <v>1</v>
      </c>
      <c r="F20" s="7">
        <v>86769.43</v>
      </c>
      <c r="G20" s="7">
        <v>118333.49</v>
      </c>
      <c r="H20" s="7">
        <v>118333.49</v>
      </c>
    </row>
    <row r="21" spans="2:8" ht="16" thickBot="1">
      <c r="B21" s="9" t="s">
        <v>21</v>
      </c>
      <c r="C21" s="80">
        <v>4787.47</v>
      </c>
      <c r="D21" s="81"/>
      <c r="E21" s="8">
        <v>1</v>
      </c>
      <c r="F21" s="7">
        <v>60409.05</v>
      </c>
      <c r="G21" s="7">
        <v>82414.12</v>
      </c>
      <c r="H21" s="7">
        <v>82414.12</v>
      </c>
    </row>
    <row r="22" spans="2:8" ht="16" thickBot="1">
      <c r="B22" s="4" t="s">
        <v>22</v>
      </c>
      <c r="C22" s="82">
        <v>7159.87</v>
      </c>
      <c r="D22" s="83"/>
      <c r="E22" s="6">
        <v>2</v>
      </c>
      <c r="F22" s="7">
        <v>173538.86</v>
      </c>
      <c r="G22" s="7">
        <v>236666.98</v>
      </c>
      <c r="H22" s="7">
        <v>236666.98</v>
      </c>
    </row>
    <row r="23" spans="2:8" ht="16" thickBot="1">
      <c r="B23" s="4" t="s">
        <v>23</v>
      </c>
      <c r="C23" s="82">
        <v>7159.87</v>
      </c>
      <c r="D23" s="83"/>
      <c r="E23" s="6">
        <v>1</v>
      </c>
      <c r="F23" s="7">
        <v>86769.43</v>
      </c>
      <c r="G23" s="7">
        <v>118333.49</v>
      </c>
      <c r="H23" s="7">
        <v>118333.49</v>
      </c>
    </row>
    <row r="24" spans="2:8" ht="16" thickBot="1">
      <c r="B24" s="4" t="s">
        <v>24</v>
      </c>
      <c r="C24" s="82">
        <v>7159.87</v>
      </c>
      <c r="D24" s="83"/>
      <c r="E24" s="6">
        <v>1</v>
      </c>
      <c r="F24" s="7">
        <v>86769.43</v>
      </c>
      <c r="G24" s="7">
        <v>118333.49</v>
      </c>
      <c r="H24" s="7">
        <v>118333.49</v>
      </c>
    </row>
    <row r="25" spans="2:8" ht="16" thickBot="1">
      <c r="B25" s="4" t="s">
        <v>25</v>
      </c>
      <c r="C25" s="82">
        <v>7159.87</v>
      </c>
      <c r="D25" s="83"/>
      <c r="E25" s="6">
        <v>2</v>
      </c>
      <c r="F25" s="7">
        <v>173538.86</v>
      </c>
      <c r="G25" s="7">
        <v>236666.98</v>
      </c>
      <c r="H25" s="7">
        <v>236666.98</v>
      </c>
    </row>
    <row r="26" spans="2:8" ht="16" thickBot="1">
      <c r="B26" s="4" t="s">
        <v>26</v>
      </c>
      <c r="C26" s="82">
        <v>7159.87</v>
      </c>
      <c r="D26" s="83"/>
      <c r="E26" s="6">
        <v>1</v>
      </c>
      <c r="F26" s="7">
        <v>86769.43</v>
      </c>
      <c r="G26" s="7">
        <v>118333.49</v>
      </c>
      <c r="H26" s="7">
        <v>118333.49</v>
      </c>
    </row>
    <row r="27" spans="2:8" ht="16" thickBot="1">
      <c r="B27" s="4" t="s">
        <v>27</v>
      </c>
      <c r="C27" s="82">
        <v>4787.47</v>
      </c>
      <c r="D27" s="83"/>
      <c r="E27" s="6">
        <v>5</v>
      </c>
      <c r="F27" s="7">
        <v>302045.25</v>
      </c>
      <c r="G27" s="7">
        <v>412070.6</v>
      </c>
      <c r="H27" s="7">
        <v>412070.6</v>
      </c>
    </row>
    <row r="28" spans="2:8" ht="16" thickBot="1">
      <c r="B28" s="4" t="s">
        <v>28</v>
      </c>
      <c r="C28" s="80">
        <v>4787.47</v>
      </c>
      <c r="D28" s="81"/>
      <c r="E28" s="6">
        <v>4</v>
      </c>
      <c r="F28" s="7">
        <v>241636.2</v>
      </c>
      <c r="G28" s="7">
        <v>329656.48</v>
      </c>
      <c r="H28" s="7">
        <v>329656.48</v>
      </c>
    </row>
    <row r="29" spans="2:8" ht="16" thickBot="1">
      <c r="B29" s="4" t="s">
        <v>29</v>
      </c>
      <c r="C29" s="80">
        <v>4787.47</v>
      </c>
      <c r="D29" s="81"/>
      <c r="E29" s="6">
        <v>1</v>
      </c>
      <c r="F29" s="7">
        <v>60409.05</v>
      </c>
      <c r="G29" s="7">
        <v>82414.12</v>
      </c>
      <c r="H29" s="7">
        <v>82414.12</v>
      </c>
    </row>
    <row r="30" spans="2:8" ht="16" thickBot="1">
      <c r="B30" s="4" t="s">
        <v>30</v>
      </c>
      <c r="C30" s="80">
        <v>4787.47</v>
      </c>
      <c r="D30" s="81"/>
      <c r="E30" s="6">
        <v>15</v>
      </c>
      <c r="F30" s="7">
        <v>906135.75</v>
      </c>
      <c r="G30" s="7">
        <v>1236211.8</v>
      </c>
      <c r="H30" s="7">
        <v>1236211.8</v>
      </c>
    </row>
    <row r="31" spans="2:8" ht="16" thickBot="1">
      <c r="B31" s="4" t="s">
        <v>31</v>
      </c>
      <c r="C31" s="80">
        <v>4787.47</v>
      </c>
      <c r="D31" s="81"/>
      <c r="E31" s="6">
        <v>1</v>
      </c>
      <c r="F31" s="7">
        <v>60409.05</v>
      </c>
      <c r="G31" s="7">
        <v>82414.12</v>
      </c>
      <c r="H31" s="7">
        <v>82414.12</v>
      </c>
    </row>
    <row r="32" spans="2:8" ht="16" thickBot="1">
      <c r="B32" s="4" t="s">
        <v>32</v>
      </c>
      <c r="C32" s="80">
        <v>4787.47</v>
      </c>
      <c r="D32" s="81"/>
      <c r="E32" s="6">
        <v>1</v>
      </c>
      <c r="F32" s="7">
        <v>60409.05</v>
      </c>
      <c r="G32" s="7">
        <v>82414.12</v>
      </c>
      <c r="H32" s="7">
        <v>82414.12</v>
      </c>
    </row>
    <row r="33" spans="2:8" ht="16" thickBot="1">
      <c r="B33" s="4" t="s">
        <v>33</v>
      </c>
      <c r="C33" s="80">
        <v>4787.47</v>
      </c>
      <c r="D33" s="81"/>
      <c r="E33" s="6">
        <v>1</v>
      </c>
      <c r="F33" s="7">
        <v>60409.05</v>
      </c>
      <c r="G33" s="7">
        <v>82414.12</v>
      </c>
      <c r="H33" s="7">
        <v>82414.12</v>
      </c>
    </row>
    <row r="34" spans="2:8" ht="16" thickBot="1">
      <c r="B34" s="4" t="s">
        <v>34</v>
      </c>
      <c r="C34" s="80">
        <v>4787.47</v>
      </c>
      <c r="D34" s="81"/>
      <c r="E34" s="6">
        <v>1</v>
      </c>
      <c r="F34" s="7">
        <v>60409.05</v>
      </c>
      <c r="G34" s="7">
        <v>82414.12</v>
      </c>
      <c r="H34" s="7">
        <v>82414.12</v>
      </c>
    </row>
    <row r="35" spans="2:8" ht="16" thickBot="1">
      <c r="B35" s="4" t="s">
        <v>35</v>
      </c>
      <c r="C35" s="80">
        <v>4787.47</v>
      </c>
      <c r="D35" s="81"/>
      <c r="E35" s="6">
        <v>1</v>
      </c>
      <c r="F35" s="7">
        <v>60409.05</v>
      </c>
      <c r="G35" s="7">
        <v>82414.12</v>
      </c>
      <c r="H35" s="7">
        <v>82414.12</v>
      </c>
    </row>
    <row r="36" spans="2:8" ht="16" thickBot="1">
      <c r="B36" s="4" t="s">
        <v>36</v>
      </c>
      <c r="C36" s="80">
        <v>4787.47</v>
      </c>
      <c r="D36" s="81"/>
      <c r="E36" s="6">
        <v>2</v>
      </c>
      <c r="F36" s="7">
        <v>120818.1</v>
      </c>
      <c r="G36" s="7">
        <v>164828.24</v>
      </c>
      <c r="H36" s="7">
        <v>164828.24</v>
      </c>
    </row>
    <row r="37" spans="2:8" ht="16" thickBot="1">
      <c r="B37" s="4" t="s">
        <v>37</v>
      </c>
      <c r="C37" s="80">
        <v>4787.47</v>
      </c>
      <c r="D37" s="81"/>
      <c r="E37" s="6">
        <v>1</v>
      </c>
      <c r="F37" s="7">
        <v>60409.05</v>
      </c>
      <c r="G37" s="7">
        <v>82414.12</v>
      </c>
      <c r="H37" s="7">
        <v>82414.12</v>
      </c>
    </row>
    <row r="38" spans="2:8" ht="16" thickBot="1">
      <c r="B38" s="4" t="s">
        <v>38</v>
      </c>
      <c r="C38" s="80">
        <v>4787.47</v>
      </c>
      <c r="D38" s="81"/>
      <c r="E38" s="6">
        <v>1</v>
      </c>
      <c r="F38" s="7">
        <v>60409.05</v>
      </c>
      <c r="G38" s="7">
        <v>82414.12</v>
      </c>
      <c r="H38" s="7">
        <v>82414.12</v>
      </c>
    </row>
    <row r="39" spans="2:8" ht="16" thickBot="1">
      <c r="B39" s="4" t="s">
        <v>39</v>
      </c>
      <c r="C39" s="80">
        <v>4787.47</v>
      </c>
      <c r="D39" s="81"/>
      <c r="E39" s="6">
        <v>1</v>
      </c>
      <c r="F39" s="7">
        <v>60409.05</v>
      </c>
      <c r="G39" s="7">
        <v>82414.12</v>
      </c>
      <c r="H39" s="7">
        <v>82414.12</v>
      </c>
    </row>
    <row r="40" spans="2:8" ht="18" thickBot="1">
      <c r="B40" s="11" t="s">
        <v>40</v>
      </c>
      <c r="C40" s="82">
        <v>120751.06</v>
      </c>
      <c r="D40" s="83"/>
      <c r="E40" s="6">
        <v>80</v>
      </c>
      <c r="F40" s="12">
        <v>9011970.0800000001</v>
      </c>
      <c r="G40" s="12">
        <v>12307900.08</v>
      </c>
      <c r="H40" s="12">
        <v>12307900.08</v>
      </c>
    </row>
  </sheetData>
  <mergeCells count="41">
    <mergeCell ref="C11:D11"/>
    <mergeCell ref="B5:C5"/>
    <mergeCell ref="D5:H5"/>
    <mergeCell ref="B6:C6"/>
    <mergeCell ref="D6:H6"/>
    <mergeCell ref="B7:C7"/>
    <mergeCell ref="D7:H7"/>
    <mergeCell ref="B8:C8"/>
    <mergeCell ref="D8:H8"/>
    <mergeCell ref="B9:E9"/>
    <mergeCell ref="F9:H9"/>
    <mergeCell ref="C10:D10"/>
    <mergeCell ref="C23:D23"/>
    <mergeCell ref="C12:D12"/>
    <mergeCell ref="C13:D13"/>
    <mergeCell ref="C14:D14"/>
    <mergeCell ref="C15:D15"/>
    <mergeCell ref="C16:D16"/>
    <mergeCell ref="C17:D17"/>
    <mergeCell ref="C18:D18"/>
    <mergeCell ref="C19:D19"/>
    <mergeCell ref="C20:D20"/>
    <mergeCell ref="C21:D21"/>
    <mergeCell ref="C22:D22"/>
    <mergeCell ref="C35:D35"/>
    <mergeCell ref="C24:D24"/>
    <mergeCell ref="C25:D25"/>
    <mergeCell ref="C26:D26"/>
    <mergeCell ref="C27:D27"/>
    <mergeCell ref="C28:D28"/>
    <mergeCell ref="C29:D29"/>
    <mergeCell ref="C30:D30"/>
    <mergeCell ref="C31:D31"/>
    <mergeCell ref="C32:D32"/>
    <mergeCell ref="C33:D33"/>
    <mergeCell ref="C34:D34"/>
    <mergeCell ref="C36:D36"/>
    <mergeCell ref="C37:D37"/>
    <mergeCell ref="C38:D38"/>
    <mergeCell ref="C39:D39"/>
    <mergeCell ref="C40:D40"/>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C4FB3-5569-4291-8E38-3A69E2FEFFDB}">
  <dimension ref="A1:U566"/>
  <sheetViews>
    <sheetView topLeftCell="A93" workbookViewId="0">
      <selection activeCell="B251" sqref="B251"/>
    </sheetView>
  </sheetViews>
  <sheetFormatPr baseColWidth="10" defaultColWidth="9.1640625" defaultRowHeight="16"/>
  <cols>
    <col min="1" max="1" width="37" style="15" customWidth="1"/>
    <col min="2" max="2" width="36.5" style="15" customWidth="1"/>
    <col min="3" max="3" width="9.33203125" style="15" bestFit="1" customWidth="1"/>
    <col min="4" max="5" width="14.5" style="15" bestFit="1" customWidth="1"/>
    <col min="6" max="6" width="15.6640625" style="15" bestFit="1" customWidth="1"/>
    <col min="7" max="8" width="14.5" style="15" bestFit="1" customWidth="1"/>
    <col min="9" max="9" width="9.1640625" style="15"/>
    <col min="10" max="10" width="15.6640625" style="15" bestFit="1" customWidth="1"/>
    <col min="11" max="11" width="17" style="15" bestFit="1" customWidth="1"/>
    <col min="12" max="12" width="16.5" style="15" bestFit="1" customWidth="1"/>
    <col min="13" max="14" width="14.5" style="15" bestFit="1" customWidth="1"/>
    <col min="15" max="15" width="17" style="15" bestFit="1" customWidth="1"/>
    <col min="16" max="16" width="19.1640625" style="15" bestFit="1" customWidth="1"/>
    <col min="17" max="17" width="17" style="15" bestFit="1" customWidth="1"/>
    <col min="18" max="16384" width="9.1640625" style="15"/>
  </cols>
  <sheetData>
    <row r="1" spans="1:16">
      <c r="A1" s="16" t="s">
        <v>87</v>
      </c>
    </row>
    <row r="2" spans="1:16">
      <c r="A2" s="14" t="s">
        <v>42</v>
      </c>
    </row>
    <row r="3" spans="1:16">
      <c r="A3" s="14" t="s">
        <v>43</v>
      </c>
    </row>
    <row r="4" spans="1:16">
      <c r="A4" s="16" t="s">
        <v>86</v>
      </c>
    </row>
    <row r="5" spans="1:16" ht="17" thickBot="1">
      <c r="A5" s="16"/>
    </row>
    <row r="6" spans="1:16" ht="35" thickBot="1">
      <c r="A6" s="94" t="s">
        <v>44</v>
      </c>
      <c r="B6" s="94" t="s">
        <v>45</v>
      </c>
      <c r="C6" s="17" t="s">
        <v>46</v>
      </c>
      <c r="D6" s="17" t="s">
        <v>47</v>
      </c>
      <c r="E6" s="17" t="s">
        <v>48</v>
      </c>
      <c r="F6" s="17" t="s">
        <v>49</v>
      </c>
      <c r="G6" s="17" t="s">
        <v>50</v>
      </c>
      <c r="H6" s="17" t="s">
        <v>51</v>
      </c>
      <c r="I6" s="17" t="s">
        <v>52</v>
      </c>
      <c r="J6" s="17" t="s">
        <v>53</v>
      </c>
      <c r="K6" s="17" t="s">
        <v>54</v>
      </c>
      <c r="L6" s="17" t="s">
        <v>55</v>
      </c>
      <c r="M6" s="17" t="s">
        <v>56</v>
      </c>
      <c r="N6" s="17" t="s">
        <v>57</v>
      </c>
      <c r="O6" s="17" t="s">
        <v>58</v>
      </c>
      <c r="P6" s="17" t="s">
        <v>59</v>
      </c>
    </row>
    <row r="7" spans="1:16" ht="18" thickBot="1">
      <c r="A7" s="108"/>
      <c r="B7" s="108"/>
      <c r="C7" s="94" t="s">
        <v>60</v>
      </c>
      <c r="D7" s="94" t="s">
        <v>61</v>
      </c>
      <c r="E7" s="94" t="s">
        <v>62</v>
      </c>
      <c r="F7" s="94" t="s">
        <v>63</v>
      </c>
      <c r="G7" s="94" t="s">
        <v>64</v>
      </c>
      <c r="H7" s="94" t="s">
        <v>65</v>
      </c>
      <c r="I7" s="94" t="s">
        <v>66</v>
      </c>
      <c r="J7" s="18" t="s">
        <v>67</v>
      </c>
      <c r="K7" s="18" t="s">
        <v>68</v>
      </c>
      <c r="L7" s="94" t="s">
        <v>69</v>
      </c>
      <c r="M7" s="94" t="s">
        <v>70</v>
      </c>
      <c r="N7" s="94" t="s">
        <v>71</v>
      </c>
      <c r="O7" s="94" t="s">
        <v>72</v>
      </c>
      <c r="P7" s="94" t="s">
        <v>73</v>
      </c>
    </row>
    <row r="8" spans="1:16" ht="18" thickBot="1">
      <c r="A8" s="95"/>
      <c r="B8" s="95"/>
      <c r="C8" s="95"/>
      <c r="D8" s="95"/>
      <c r="E8" s="95"/>
      <c r="F8" s="95"/>
      <c r="G8" s="95"/>
      <c r="H8" s="95"/>
      <c r="I8" s="95"/>
      <c r="J8" s="18" t="s">
        <v>74</v>
      </c>
      <c r="K8" s="18" t="s">
        <v>75</v>
      </c>
      <c r="L8" s="95"/>
      <c r="M8" s="95"/>
      <c r="N8" s="95"/>
      <c r="O8" s="95"/>
      <c r="P8" s="95"/>
    </row>
    <row r="9" spans="1:16" ht="18" thickBot="1">
      <c r="A9" s="20" t="s">
        <v>11</v>
      </c>
      <c r="B9" s="18" t="s">
        <v>76</v>
      </c>
      <c r="C9" s="18">
        <v>1</v>
      </c>
      <c r="D9" s="21">
        <v>2769.57</v>
      </c>
      <c r="E9" s="21">
        <v>4390.3</v>
      </c>
      <c r="F9" s="21">
        <v>7159.87</v>
      </c>
      <c r="G9" s="21">
        <v>821.15</v>
      </c>
      <c r="H9" s="21">
        <v>1000</v>
      </c>
      <c r="I9" s="18" t="s">
        <v>77</v>
      </c>
      <c r="J9" s="21">
        <v>8981.02</v>
      </c>
      <c r="K9" s="21">
        <v>80829.179999999993</v>
      </c>
      <c r="L9" s="21">
        <v>5369.68</v>
      </c>
      <c r="M9" s="18">
        <v>0</v>
      </c>
      <c r="N9" s="21">
        <v>570.57000000000005</v>
      </c>
      <c r="O9" s="21">
        <v>86769.43</v>
      </c>
      <c r="P9" s="21">
        <v>86769.43</v>
      </c>
    </row>
    <row r="10" spans="1:16" ht="18" thickBot="1">
      <c r="A10" s="106" t="s">
        <v>78</v>
      </c>
      <c r="B10" s="107"/>
      <c r="C10" s="22"/>
      <c r="D10" s="21">
        <v>2769.57</v>
      </c>
      <c r="E10" s="21">
        <v>4390.3</v>
      </c>
      <c r="F10" s="21">
        <v>7159.87</v>
      </c>
      <c r="G10" s="21">
        <v>821.15</v>
      </c>
      <c r="H10" s="21">
        <v>1000</v>
      </c>
      <c r="I10" s="18" t="s">
        <v>77</v>
      </c>
      <c r="J10" s="21">
        <v>8981.02</v>
      </c>
      <c r="K10" s="21">
        <v>80829.179999999993</v>
      </c>
      <c r="L10" s="21">
        <v>5369.68</v>
      </c>
      <c r="M10" s="18">
        <v>0</v>
      </c>
      <c r="N10" s="21">
        <v>570.57000000000005</v>
      </c>
      <c r="O10" s="21">
        <v>86769.43</v>
      </c>
      <c r="P10" s="21">
        <v>86769.43</v>
      </c>
    </row>
    <row r="11" spans="1:16" ht="35" thickBot="1">
      <c r="A11" s="94" t="s">
        <v>44</v>
      </c>
      <c r="B11" s="94" t="s">
        <v>45</v>
      </c>
      <c r="C11" s="18" t="s">
        <v>46</v>
      </c>
      <c r="D11" s="18" t="s">
        <v>47</v>
      </c>
      <c r="E11" s="18" t="s">
        <v>48</v>
      </c>
      <c r="F11" s="18" t="s">
        <v>49</v>
      </c>
      <c r="G11" s="18" t="s">
        <v>50</v>
      </c>
      <c r="H11" s="18" t="s">
        <v>51</v>
      </c>
      <c r="I11" s="18" t="s">
        <v>52</v>
      </c>
      <c r="J11" s="18" t="s">
        <v>53</v>
      </c>
      <c r="K11" s="18" t="s">
        <v>79</v>
      </c>
      <c r="L11" s="18" t="s">
        <v>55</v>
      </c>
      <c r="M11" s="18" t="s">
        <v>56</v>
      </c>
      <c r="N11" s="18" t="s">
        <v>57</v>
      </c>
      <c r="O11" s="18" t="s">
        <v>58</v>
      </c>
      <c r="P11" s="18" t="s">
        <v>59</v>
      </c>
    </row>
    <row r="12" spans="1:16" ht="18" thickBot="1">
      <c r="A12" s="108"/>
      <c r="B12" s="108"/>
      <c r="C12" s="94" t="s">
        <v>60</v>
      </c>
      <c r="D12" s="94" t="s">
        <v>61</v>
      </c>
      <c r="E12" s="94" t="s">
        <v>62</v>
      </c>
      <c r="F12" s="94" t="s">
        <v>63</v>
      </c>
      <c r="G12" s="94" t="s">
        <v>64</v>
      </c>
      <c r="H12" s="94" t="s">
        <v>65</v>
      </c>
      <c r="I12" s="94" t="s">
        <v>66</v>
      </c>
      <c r="J12" s="18" t="s">
        <v>67</v>
      </c>
      <c r="K12" s="18" t="s">
        <v>68</v>
      </c>
      <c r="L12" s="94" t="s">
        <v>69</v>
      </c>
      <c r="M12" s="94" t="s">
        <v>70</v>
      </c>
      <c r="N12" s="94" t="s">
        <v>71</v>
      </c>
      <c r="O12" s="94" t="s">
        <v>72</v>
      </c>
      <c r="P12" s="94" t="s">
        <v>73</v>
      </c>
    </row>
    <row r="13" spans="1:16" ht="18" thickBot="1">
      <c r="A13" s="95"/>
      <c r="B13" s="95"/>
      <c r="C13" s="95"/>
      <c r="D13" s="95"/>
      <c r="E13" s="95"/>
      <c r="F13" s="95"/>
      <c r="G13" s="95"/>
      <c r="H13" s="95"/>
      <c r="I13" s="95"/>
      <c r="J13" s="18" t="s">
        <v>74</v>
      </c>
      <c r="K13" s="18" t="s">
        <v>75</v>
      </c>
      <c r="L13" s="95"/>
      <c r="M13" s="95"/>
      <c r="N13" s="95"/>
      <c r="O13" s="95"/>
      <c r="P13" s="95"/>
    </row>
    <row r="14" spans="1:16" ht="18" thickBot="1">
      <c r="A14" s="20" t="s">
        <v>12</v>
      </c>
      <c r="B14" s="18" t="s">
        <v>76</v>
      </c>
      <c r="C14" s="18">
        <v>1</v>
      </c>
      <c r="D14" s="21">
        <v>2769.57</v>
      </c>
      <c r="E14" s="21">
        <v>4390.3</v>
      </c>
      <c r="F14" s="21">
        <v>7159.87</v>
      </c>
      <c r="G14" s="21">
        <v>821.15</v>
      </c>
      <c r="H14" s="21">
        <v>1000</v>
      </c>
      <c r="I14" s="18" t="s">
        <v>77</v>
      </c>
      <c r="J14" s="21">
        <v>8981.02</v>
      </c>
      <c r="K14" s="21">
        <v>80829.179999999993</v>
      </c>
      <c r="L14" s="21">
        <v>5369.68</v>
      </c>
      <c r="M14" s="18">
        <v>0</v>
      </c>
      <c r="N14" s="21">
        <v>570.57000000000005</v>
      </c>
      <c r="O14" s="21">
        <v>86769.43</v>
      </c>
      <c r="P14" s="21">
        <v>86769.43</v>
      </c>
    </row>
    <row r="15" spans="1:16" ht="18" thickBot="1">
      <c r="A15" s="106" t="s">
        <v>78</v>
      </c>
      <c r="B15" s="107"/>
      <c r="C15" s="22"/>
      <c r="D15" s="21">
        <v>2769.57</v>
      </c>
      <c r="E15" s="21">
        <v>4390.3</v>
      </c>
      <c r="F15" s="21">
        <v>7159.87</v>
      </c>
      <c r="G15" s="21">
        <v>821.15</v>
      </c>
      <c r="H15" s="21">
        <v>1000</v>
      </c>
      <c r="I15" s="18" t="s">
        <v>77</v>
      </c>
      <c r="J15" s="21">
        <v>8981.02</v>
      </c>
      <c r="K15" s="21">
        <v>80829.179999999993</v>
      </c>
      <c r="L15" s="21">
        <v>5369.68</v>
      </c>
      <c r="M15" s="18">
        <v>0</v>
      </c>
      <c r="N15" s="21">
        <v>570.57000000000005</v>
      </c>
      <c r="O15" s="21">
        <v>86769.43</v>
      </c>
      <c r="P15" s="21">
        <v>86769.43</v>
      </c>
    </row>
    <row r="16" spans="1:16" ht="35" thickBot="1">
      <c r="A16" s="94" t="s">
        <v>44</v>
      </c>
      <c r="B16" s="94" t="s">
        <v>45</v>
      </c>
      <c r="C16" s="18" t="s">
        <v>46</v>
      </c>
      <c r="D16" s="18" t="s">
        <v>47</v>
      </c>
      <c r="E16" s="18" t="s">
        <v>80</v>
      </c>
      <c r="F16" s="18" t="s">
        <v>49</v>
      </c>
      <c r="G16" s="18" t="s">
        <v>50</v>
      </c>
      <c r="H16" s="18" t="s">
        <v>51</v>
      </c>
      <c r="I16" s="18" t="s">
        <v>52</v>
      </c>
      <c r="J16" s="18" t="s">
        <v>53</v>
      </c>
      <c r="K16" s="18" t="s">
        <v>54</v>
      </c>
      <c r="L16" s="18" t="s">
        <v>55</v>
      </c>
      <c r="M16" s="18" t="s">
        <v>56</v>
      </c>
      <c r="N16" s="18" t="s">
        <v>57</v>
      </c>
      <c r="O16" s="18" t="s">
        <v>58</v>
      </c>
      <c r="P16" s="18" t="s">
        <v>59</v>
      </c>
    </row>
    <row r="17" spans="1:18" ht="18" thickBot="1">
      <c r="A17" s="108"/>
      <c r="B17" s="108"/>
      <c r="C17" s="94" t="s">
        <v>60</v>
      </c>
      <c r="D17" s="94" t="s">
        <v>61</v>
      </c>
      <c r="E17" s="94" t="s">
        <v>62</v>
      </c>
      <c r="F17" s="94" t="s">
        <v>63</v>
      </c>
      <c r="G17" s="94" t="s">
        <v>64</v>
      </c>
      <c r="H17" s="94" t="s">
        <v>65</v>
      </c>
      <c r="I17" s="94" t="s">
        <v>66</v>
      </c>
      <c r="J17" s="18" t="s">
        <v>67</v>
      </c>
      <c r="K17" s="18" t="s">
        <v>68</v>
      </c>
      <c r="L17" s="94" t="s">
        <v>69</v>
      </c>
      <c r="M17" s="94" t="s">
        <v>70</v>
      </c>
      <c r="N17" s="94" t="s">
        <v>71</v>
      </c>
      <c r="O17" s="94" t="s">
        <v>72</v>
      </c>
      <c r="P17" s="94" t="s">
        <v>73</v>
      </c>
    </row>
    <row r="18" spans="1:18" ht="18" thickBot="1">
      <c r="A18" s="95"/>
      <c r="B18" s="95"/>
      <c r="C18" s="95"/>
      <c r="D18" s="95"/>
      <c r="E18" s="95"/>
      <c r="F18" s="95"/>
      <c r="G18" s="95"/>
      <c r="H18" s="95"/>
      <c r="I18" s="95"/>
      <c r="J18" s="18" t="s">
        <v>74</v>
      </c>
      <c r="K18" s="18" t="s">
        <v>75</v>
      </c>
      <c r="L18" s="95"/>
      <c r="M18" s="95"/>
      <c r="N18" s="95"/>
      <c r="O18" s="95"/>
      <c r="P18" s="95"/>
    </row>
    <row r="19" spans="1:18" ht="18" thickBot="1">
      <c r="A19" s="20" t="s">
        <v>81</v>
      </c>
      <c r="B19" s="18" t="s">
        <v>76</v>
      </c>
      <c r="C19" s="18">
        <v>34</v>
      </c>
      <c r="D19" s="21">
        <v>6397.19</v>
      </c>
      <c r="E19" s="21">
        <v>7356.77</v>
      </c>
      <c r="F19" s="21">
        <v>13753.96</v>
      </c>
      <c r="G19" s="21">
        <v>1782.62</v>
      </c>
      <c r="H19" s="21">
        <v>1000</v>
      </c>
      <c r="I19" s="18" t="s">
        <v>77</v>
      </c>
      <c r="J19" s="21">
        <v>16536.580000000002</v>
      </c>
      <c r="K19" s="21">
        <v>148829.22</v>
      </c>
      <c r="L19" s="21">
        <v>10315.469999999999</v>
      </c>
      <c r="M19" s="18">
        <v>0</v>
      </c>
      <c r="N19" s="21">
        <v>1093.44</v>
      </c>
      <c r="O19" s="21">
        <v>160238.13</v>
      </c>
      <c r="P19" s="21">
        <v>5448096.4199999999</v>
      </c>
    </row>
    <row r="20" spans="1:18" ht="18" thickBot="1">
      <c r="A20" s="92" t="s">
        <v>78</v>
      </c>
      <c r="B20" s="93"/>
      <c r="C20" s="22"/>
      <c r="D20" s="21">
        <v>6397.19</v>
      </c>
      <c r="E20" s="21">
        <v>7356.77</v>
      </c>
      <c r="F20" s="21">
        <v>13753.96</v>
      </c>
      <c r="G20" s="21">
        <v>1782.62</v>
      </c>
      <c r="H20" s="21">
        <v>1000</v>
      </c>
      <c r="I20" s="18" t="s">
        <v>77</v>
      </c>
      <c r="J20" s="21">
        <v>16536.580000000002</v>
      </c>
      <c r="K20" s="21">
        <v>148829.22</v>
      </c>
      <c r="L20" s="21">
        <v>10315.469999999999</v>
      </c>
      <c r="M20" s="18">
        <v>0</v>
      </c>
      <c r="N20" s="21">
        <v>1093.44</v>
      </c>
      <c r="O20" s="21">
        <v>160238.13</v>
      </c>
      <c r="P20" s="21">
        <v>5448096.4199999999</v>
      </c>
    </row>
    <row r="21" spans="1:18">
      <c r="A21" s="16"/>
    </row>
    <row r="22" spans="1:18">
      <c r="A22" s="16" t="s">
        <v>86</v>
      </c>
    </row>
    <row r="23" spans="1:18" ht="17" thickBot="1">
      <c r="A23" s="24"/>
    </row>
    <row r="24" spans="1:18" ht="35" thickBot="1">
      <c r="A24" s="94" t="s">
        <v>44</v>
      </c>
      <c r="B24" s="94" t="s">
        <v>45</v>
      </c>
      <c r="C24" s="23" t="s">
        <v>46</v>
      </c>
      <c r="D24" s="23" t="s">
        <v>47</v>
      </c>
      <c r="E24" s="23" t="s">
        <v>48</v>
      </c>
      <c r="F24" s="23" t="s">
        <v>49</v>
      </c>
      <c r="G24" s="23" t="s">
        <v>50</v>
      </c>
      <c r="H24" s="23" t="s">
        <v>51</v>
      </c>
      <c r="I24" s="23" t="s">
        <v>52</v>
      </c>
      <c r="J24" s="23" t="s">
        <v>53</v>
      </c>
      <c r="K24" s="23" t="s">
        <v>54</v>
      </c>
      <c r="L24" s="23" t="s">
        <v>55</v>
      </c>
      <c r="M24" s="23" t="s">
        <v>56</v>
      </c>
      <c r="N24" s="23" t="s">
        <v>57</v>
      </c>
      <c r="O24" s="23" t="s">
        <v>58</v>
      </c>
      <c r="P24" s="25" t="s">
        <v>59</v>
      </c>
      <c r="Q24" s="26"/>
      <c r="R24" s="26"/>
    </row>
    <row r="25" spans="1:18" ht="17">
      <c r="A25" s="108"/>
      <c r="B25" s="108"/>
      <c r="C25" s="94" t="s">
        <v>60</v>
      </c>
      <c r="D25" s="94" t="s">
        <v>61</v>
      </c>
      <c r="E25" s="94" t="s">
        <v>62</v>
      </c>
      <c r="F25" s="94" t="s">
        <v>63</v>
      </c>
      <c r="G25" s="94" t="s">
        <v>64</v>
      </c>
      <c r="H25" s="94" t="s">
        <v>65</v>
      </c>
      <c r="I25" s="94" t="s">
        <v>66</v>
      </c>
      <c r="J25" s="27" t="s">
        <v>67</v>
      </c>
      <c r="K25" s="94" t="s">
        <v>68</v>
      </c>
      <c r="L25" s="94" t="s">
        <v>69</v>
      </c>
      <c r="M25" s="94" t="s">
        <v>70</v>
      </c>
      <c r="N25" s="94" t="s">
        <v>71</v>
      </c>
      <c r="O25" s="94" t="s">
        <v>72</v>
      </c>
      <c r="P25" s="94" t="s">
        <v>73</v>
      </c>
      <c r="Q25" s="105"/>
      <c r="R25" s="109"/>
    </row>
    <row r="26" spans="1:18" ht="18" thickBot="1">
      <c r="A26" s="95"/>
      <c r="B26" s="95"/>
      <c r="C26" s="95"/>
      <c r="D26" s="95"/>
      <c r="E26" s="95"/>
      <c r="F26" s="95"/>
      <c r="G26" s="95"/>
      <c r="H26" s="95"/>
      <c r="I26" s="95"/>
      <c r="J26" s="28" t="s">
        <v>74</v>
      </c>
      <c r="K26" s="95"/>
      <c r="L26" s="95"/>
      <c r="M26" s="95"/>
      <c r="N26" s="95"/>
      <c r="O26" s="95"/>
      <c r="P26" s="95"/>
      <c r="Q26" s="105"/>
      <c r="R26" s="109"/>
    </row>
    <row r="27" spans="1:18" ht="18" thickBot="1">
      <c r="A27" s="29" t="s">
        <v>14</v>
      </c>
      <c r="B27" s="28" t="s">
        <v>76</v>
      </c>
      <c r="C27" s="28">
        <v>2</v>
      </c>
      <c r="D27" s="30">
        <v>2769.57</v>
      </c>
      <c r="E27" s="30">
        <v>4390.3</v>
      </c>
      <c r="F27" s="30">
        <v>7159.87</v>
      </c>
      <c r="G27" s="30">
        <v>821.15</v>
      </c>
      <c r="H27" s="30">
        <v>1000</v>
      </c>
      <c r="I27" s="28" t="s">
        <v>77</v>
      </c>
      <c r="J27" s="30">
        <v>8981.02</v>
      </c>
      <c r="K27" s="30">
        <v>80829.179999999993</v>
      </c>
      <c r="L27" s="30">
        <v>5369.68</v>
      </c>
      <c r="M27" s="28">
        <v>0</v>
      </c>
      <c r="N27" s="30">
        <v>570.57000000000005</v>
      </c>
      <c r="O27" s="30">
        <v>86769.43</v>
      </c>
      <c r="P27" s="31">
        <v>173538.86</v>
      </c>
      <c r="Q27" s="26"/>
      <c r="R27" s="26"/>
    </row>
    <row r="28" spans="1:18" ht="18" thickBot="1">
      <c r="A28" s="106" t="s">
        <v>78</v>
      </c>
      <c r="B28" s="107"/>
      <c r="C28" s="28"/>
      <c r="D28" s="30">
        <v>2769.57</v>
      </c>
      <c r="E28" s="30">
        <v>4390.3</v>
      </c>
      <c r="F28" s="30">
        <v>7159.87</v>
      </c>
      <c r="G28" s="30">
        <v>821.15</v>
      </c>
      <c r="H28" s="30">
        <v>1000</v>
      </c>
      <c r="I28" s="28" t="s">
        <v>77</v>
      </c>
      <c r="J28" s="30">
        <v>8981.02</v>
      </c>
      <c r="K28" s="30">
        <v>80829.179999999993</v>
      </c>
      <c r="L28" s="30">
        <v>5369.68</v>
      </c>
      <c r="M28" s="28">
        <v>0</v>
      </c>
      <c r="N28" s="30">
        <v>570.57000000000005</v>
      </c>
      <c r="O28" s="30">
        <v>86769.43</v>
      </c>
      <c r="P28" s="31">
        <v>173538.86</v>
      </c>
      <c r="Q28" s="26"/>
      <c r="R28" s="26"/>
    </row>
    <row r="29" spans="1:18" ht="35" thickBot="1">
      <c r="A29" s="94" t="s">
        <v>44</v>
      </c>
      <c r="B29" s="94" t="s">
        <v>45</v>
      </c>
      <c r="C29" s="28" t="s">
        <v>46</v>
      </c>
      <c r="D29" s="28" t="s">
        <v>47</v>
      </c>
      <c r="E29" s="28" t="s">
        <v>48</v>
      </c>
      <c r="F29" s="28" t="s">
        <v>49</v>
      </c>
      <c r="G29" s="28" t="s">
        <v>50</v>
      </c>
      <c r="H29" s="28" t="s">
        <v>51</v>
      </c>
      <c r="I29" s="28" t="s">
        <v>52</v>
      </c>
      <c r="J29" s="28" t="s">
        <v>53</v>
      </c>
      <c r="K29" s="28" t="s">
        <v>54</v>
      </c>
      <c r="L29" s="28" t="s">
        <v>55</v>
      </c>
      <c r="M29" s="28" t="s">
        <v>56</v>
      </c>
      <c r="N29" s="28" t="s">
        <v>57</v>
      </c>
      <c r="O29" s="28" t="s">
        <v>58</v>
      </c>
      <c r="P29" s="99" t="s">
        <v>59</v>
      </c>
      <c r="Q29" s="101"/>
      <c r="R29" s="26"/>
    </row>
    <row r="30" spans="1:18" ht="17">
      <c r="A30" s="108"/>
      <c r="B30" s="108"/>
      <c r="C30" s="94" t="s">
        <v>60</v>
      </c>
      <c r="D30" s="94" t="s">
        <v>61</v>
      </c>
      <c r="E30" s="94" t="s">
        <v>62</v>
      </c>
      <c r="F30" s="94" t="s">
        <v>63</v>
      </c>
      <c r="G30" s="94" t="s">
        <v>64</v>
      </c>
      <c r="H30" s="94" t="s">
        <v>65</v>
      </c>
      <c r="I30" s="94" t="s">
        <v>66</v>
      </c>
      <c r="J30" s="27" t="s">
        <v>67</v>
      </c>
      <c r="K30" s="94" t="s">
        <v>68</v>
      </c>
      <c r="L30" s="94" t="s">
        <v>69</v>
      </c>
      <c r="M30" s="94" t="s">
        <v>70</v>
      </c>
      <c r="N30" s="94" t="s">
        <v>71</v>
      </c>
      <c r="O30" s="94" t="s">
        <v>72</v>
      </c>
      <c r="P30" s="96" t="s">
        <v>73</v>
      </c>
      <c r="Q30" s="98"/>
      <c r="R30" s="105"/>
    </row>
    <row r="31" spans="1:18" ht="18" thickBot="1">
      <c r="A31" s="95"/>
      <c r="B31" s="95"/>
      <c r="C31" s="95"/>
      <c r="D31" s="95"/>
      <c r="E31" s="95"/>
      <c r="F31" s="95"/>
      <c r="G31" s="95"/>
      <c r="H31" s="95"/>
      <c r="I31" s="95"/>
      <c r="J31" s="28" t="s">
        <v>74</v>
      </c>
      <c r="K31" s="95"/>
      <c r="L31" s="95"/>
      <c r="M31" s="95"/>
      <c r="N31" s="95"/>
      <c r="O31" s="95"/>
      <c r="P31" s="99"/>
      <c r="Q31" s="101"/>
      <c r="R31" s="105"/>
    </row>
    <row r="32" spans="1:18" ht="18" thickBot="1">
      <c r="A32" s="29" t="s">
        <v>22</v>
      </c>
      <c r="B32" s="28" t="s">
        <v>76</v>
      </c>
      <c r="C32" s="28">
        <v>2</v>
      </c>
      <c r="D32" s="30">
        <v>2769.57</v>
      </c>
      <c r="E32" s="30">
        <v>4390.3</v>
      </c>
      <c r="F32" s="30">
        <v>7159.87</v>
      </c>
      <c r="G32" s="30">
        <v>821.15</v>
      </c>
      <c r="H32" s="30">
        <v>1000</v>
      </c>
      <c r="I32" s="28" t="s">
        <v>77</v>
      </c>
      <c r="J32" s="30">
        <v>8981.02</v>
      </c>
      <c r="K32" s="30">
        <v>80829.179999999993</v>
      </c>
      <c r="L32" s="30">
        <v>5369.68</v>
      </c>
      <c r="M32" s="28">
        <v>0</v>
      </c>
      <c r="N32" s="30">
        <v>570.57000000000005</v>
      </c>
      <c r="O32" s="30">
        <v>86769.43</v>
      </c>
      <c r="P32" s="102">
        <v>173538.86</v>
      </c>
      <c r="Q32" s="104"/>
      <c r="R32" s="26"/>
    </row>
    <row r="33" spans="1:21" ht="18" thickBot="1">
      <c r="A33" s="106" t="s">
        <v>78</v>
      </c>
      <c r="B33" s="107"/>
      <c r="C33" s="28"/>
      <c r="D33" s="30">
        <v>2769.57</v>
      </c>
      <c r="E33" s="30">
        <v>4390.3</v>
      </c>
      <c r="F33" s="30">
        <v>7159.87</v>
      </c>
      <c r="G33" s="30">
        <v>821.15</v>
      </c>
      <c r="H33" s="30">
        <v>1000</v>
      </c>
      <c r="I33" s="28" t="s">
        <v>77</v>
      </c>
      <c r="J33" s="30">
        <v>8981.02</v>
      </c>
      <c r="K33" s="30">
        <v>80829.179999999993</v>
      </c>
      <c r="L33" s="30">
        <v>5369.68</v>
      </c>
      <c r="M33" s="28">
        <v>0</v>
      </c>
      <c r="N33" s="30">
        <v>570.57000000000005</v>
      </c>
      <c r="O33" s="30">
        <v>86769.43</v>
      </c>
      <c r="P33" s="102">
        <v>173538.86</v>
      </c>
      <c r="Q33" s="104"/>
      <c r="R33" s="26"/>
    </row>
    <row r="34" spans="1:21" ht="35" thickBot="1">
      <c r="A34" s="94" t="s">
        <v>44</v>
      </c>
      <c r="B34" s="94" t="s">
        <v>45</v>
      </c>
      <c r="C34" s="28" t="s">
        <v>46</v>
      </c>
      <c r="D34" s="28" t="s">
        <v>47</v>
      </c>
      <c r="E34" s="28" t="s">
        <v>48</v>
      </c>
      <c r="F34" s="28" t="s">
        <v>49</v>
      </c>
      <c r="G34" s="28" t="s">
        <v>50</v>
      </c>
      <c r="H34" s="28" t="s">
        <v>51</v>
      </c>
      <c r="I34" s="28" t="s">
        <v>52</v>
      </c>
      <c r="J34" s="28" t="s">
        <v>53</v>
      </c>
      <c r="K34" s="28" t="s">
        <v>54</v>
      </c>
      <c r="L34" s="28" t="s">
        <v>55</v>
      </c>
      <c r="M34" s="28" t="s">
        <v>56</v>
      </c>
      <c r="N34" s="28" t="s">
        <v>57</v>
      </c>
      <c r="O34" s="28" t="s">
        <v>58</v>
      </c>
      <c r="P34" s="92" t="s">
        <v>59</v>
      </c>
      <c r="Q34" s="93"/>
      <c r="R34" s="26"/>
    </row>
    <row r="35" spans="1:21" ht="17">
      <c r="A35" s="108"/>
      <c r="B35" s="108"/>
      <c r="C35" s="94" t="s">
        <v>60</v>
      </c>
      <c r="D35" s="94" t="s">
        <v>61</v>
      </c>
      <c r="E35" s="94" t="s">
        <v>62</v>
      </c>
      <c r="F35" s="94" t="s">
        <v>63</v>
      </c>
      <c r="G35" s="94" t="s">
        <v>64</v>
      </c>
      <c r="H35" s="94" t="s">
        <v>65</v>
      </c>
      <c r="I35" s="94" t="s">
        <v>66</v>
      </c>
      <c r="J35" s="27" t="s">
        <v>67</v>
      </c>
      <c r="K35" s="94" t="s">
        <v>68</v>
      </c>
      <c r="L35" s="94" t="s">
        <v>69</v>
      </c>
      <c r="M35" s="94" t="s">
        <v>70</v>
      </c>
      <c r="N35" s="94" t="s">
        <v>71</v>
      </c>
      <c r="O35" s="94" t="s">
        <v>72</v>
      </c>
      <c r="P35" s="96" t="s">
        <v>73</v>
      </c>
      <c r="Q35" s="98"/>
      <c r="R35" s="105"/>
    </row>
    <row r="36" spans="1:21" ht="18" thickBot="1">
      <c r="A36" s="95"/>
      <c r="B36" s="95"/>
      <c r="C36" s="95"/>
      <c r="D36" s="95"/>
      <c r="E36" s="95"/>
      <c r="F36" s="95"/>
      <c r="G36" s="95"/>
      <c r="H36" s="95"/>
      <c r="I36" s="95"/>
      <c r="J36" s="28" t="s">
        <v>74</v>
      </c>
      <c r="K36" s="95"/>
      <c r="L36" s="95"/>
      <c r="M36" s="95"/>
      <c r="N36" s="95"/>
      <c r="O36" s="95"/>
      <c r="P36" s="99"/>
      <c r="Q36" s="101"/>
      <c r="R36" s="105"/>
    </row>
    <row r="37" spans="1:21" ht="18" thickBot="1">
      <c r="A37" s="29" t="s">
        <v>23</v>
      </c>
      <c r="B37" s="28" t="s">
        <v>76</v>
      </c>
      <c r="C37" s="28">
        <v>1</v>
      </c>
      <c r="D37" s="30">
        <v>2769.57</v>
      </c>
      <c r="E37" s="30">
        <v>4390.3</v>
      </c>
      <c r="F37" s="30">
        <v>7159.87</v>
      </c>
      <c r="G37" s="30">
        <v>821.15</v>
      </c>
      <c r="H37" s="30">
        <v>1000</v>
      </c>
      <c r="I37" s="28" t="s">
        <v>77</v>
      </c>
      <c r="J37" s="30">
        <v>8981.02</v>
      </c>
      <c r="K37" s="30">
        <v>80829.179999999993</v>
      </c>
      <c r="L37" s="30">
        <v>5369.68</v>
      </c>
      <c r="M37" s="28">
        <v>0</v>
      </c>
      <c r="N37" s="30">
        <v>570.57000000000005</v>
      </c>
      <c r="O37" s="30">
        <v>86769.43</v>
      </c>
      <c r="P37" s="102">
        <v>86769.43</v>
      </c>
      <c r="Q37" s="104"/>
      <c r="R37" s="26"/>
    </row>
    <row r="38" spans="1:21" ht="18" thickBot="1">
      <c r="A38" s="92" t="s">
        <v>78</v>
      </c>
      <c r="B38" s="93"/>
      <c r="C38" s="28"/>
      <c r="D38" s="30">
        <v>2769.57</v>
      </c>
      <c r="E38" s="30">
        <v>4390.3</v>
      </c>
      <c r="F38" s="30">
        <v>7159.87</v>
      </c>
      <c r="G38" s="30">
        <v>821.15</v>
      </c>
      <c r="H38" s="30">
        <v>1000</v>
      </c>
      <c r="I38" s="28" t="s">
        <v>77</v>
      </c>
      <c r="J38" s="30">
        <v>8981.02</v>
      </c>
      <c r="K38" s="30">
        <v>80829.179999999993</v>
      </c>
      <c r="L38" s="30">
        <v>5369.68</v>
      </c>
      <c r="M38" s="28">
        <v>0</v>
      </c>
      <c r="N38" s="30">
        <v>570.57000000000005</v>
      </c>
      <c r="O38" s="30">
        <v>86769.43</v>
      </c>
      <c r="P38" s="102">
        <v>86769.43</v>
      </c>
      <c r="Q38" s="104"/>
      <c r="R38" s="26"/>
    </row>
    <row r="39" spans="1:21">
      <c r="A39" s="32"/>
    </row>
    <row r="40" spans="1:21">
      <c r="A40" s="14"/>
    </row>
    <row r="41" spans="1:21">
      <c r="A41" s="16" t="s">
        <v>86</v>
      </c>
    </row>
    <row r="42" spans="1:21" ht="17" thickBot="1">
      <c r="A42" s="24"/>
    </row>
    <row r="43" spans="1:21" ht="35" thickBot="1">
      <c r="A43" s="94" t="s">
        <v>44</v>
      </c>
      <c r="B43" s="94" t="s">
        <v>45</v>
      </c>
      <c r="C43" s="23" t="s">
        <v>46</v>
      </c>
      <c r="D43" s="23" t="s">
        <v>47</v>
      </c>
      <c r="E43" s="23" t="s">
        <v>48</v>
      </c>
      <c r="F43" s="23" t="s">
        <v>49</v>
      </c>
      <c r="G43" s="23" t="s">
        <v>50</v>
      </c>
      <c r="H43" s="23" t="s">
        <v>51</v>
      </c>
      <c r="I43" s="23" t="s">
        <v>52</v>
      </c>
      <c r="J43" s="23" t="s">
        <v>53</v>
      </c>
      <c r="K43" s="23" t="s">
        <v>54</v>
      </c>
      <c r="L43" s="23" t="s">
        <v>55</v>
      </c>
      <c r="M43" s="23" t="s">
        <v>56</v>
      </c>
      <c r="N43" s="23" t="s">
        <v>57</v>
      </c>
      <c r="O43" s="23" t="s">
        <v>58</v>
      </c>
      <c r="P43" s="92" t="s">
        <v>59</v>
      </c>
      <c r="Q43" s="93"/>
      <c r="R43" s="105"/>
      <c r="S43" s="109"/>
      <c r="T43" s="26"/>
      <c r="U43" s="26"/>
    </row>
    <row r="44" spans="1:21" ht="17">
      <c r="A44" s="108"/>
      <c r="B44" s="108"/>
      <c r="C44" s="94" t="s">
        <v>60</v>
      </c>
      <c r="D44" s="94" t="s">
        <v>61</v>
      </c>
      <c r="E44" s="94" t="s">
        <v>62</v>
      </c>
      <c r="F44" s="94" t="s">
        <v>63</v>
      </c>
      <c r="G44" s="94" t="s">
        <v>64</v>
      </c>
      <c r="H44" s="94" t="s">
        <v>65</v>
      </c>
      <c r="I44" s="94" t="s">
        <v>66</v>
      </c>
      <c r="J44" s="27" t="s">
        <v>67</v>
      </c>
      <c r="K44" s="94" t="s">
        <v>68</v>
      </c>
      <c r="L44" s="94" t="s">
        <v>69</v>
      </c>
      <c r="M44" s="94" t="s">
        <v>70</v>
      </c>
      <c r="N44" s="94" t="s">
        <v>71</v>
      </c>
      <c r="O44" s="94" t="s">
        <v>72</v>
      </c>
      <c r="P44" s="96" t="s">
        <v>73</v>
      </c>
      <c r="Q44" s="98"/>
      <c r="R44" s="105"/>
      <c r="S44" s="109"/>
      <c r="T44" s="109"/>
      <c r="U44" s="109"/>
    </row>
    <row r="45" spans="1:21" ht="18" thickBot="1">
      <c r="A45" s="95"/>
      <c r="B45" s="95"/>
      <c r="C45" s="95"/>
      <c r="D45" s="95"/>
      <c r="E45" s="95"/>
      <c r="F45" s="95"/>
      <c r="G45" s="95"/>
      <c r="H45" s="95"/>
      <c r="I45" s="95"/>
      <c r="J45" s="28" t="s">
        <v>74</v>
      </c>
      <c r="K45" s="95"/>
      <c r="L45" s="95"/>
      <c r="M45" s="95"/>
      <c r="N45" s="95"/>
      <c r="O45" s="95"/>
      <c r="P45" s="99"/>
      <c r="Q45" s="101"/>
      <c r="R45" s="105"/>
      <c r="S45" s="109"/>
      <c r="T45" s="109"/>
      <c r="U45" s="109"/>
    </row>
    <row r="46" spans="1:21" ht="18" thickBot="1">
      <c r="A46" s="29" t="s">
        <v>24</v>
      </c>
      <c r="B46" s="28" t="s">
        <v>76</v>
      </c>
      <c r="C46" s="28">
        <v>1</v>
      </c>
      <c r="D46" s="30">
        <v>2769.57</v>
      </c>
      <c r="E46" s="30">
        <v>4390.3</v>
      </c>
      <c r="F46" s="30">
        <v>7159.87</v>
      </c>
      <c r="G46" s="30">
        <v>821.15</v>
      </c>
      <c r="H46" s="30">
        <v>1000</v>
      </c>
      <c r="I46" s="28" t="s">
        <v>77</v>
      </c>
      <c r="J46" s="30">
        <v>8981.02</v>
      </c>
      <c r="K46" s="30">
        <v>80829.179999999993</v>
      </c>
      <c r="L46" s="30">
        <v>5369.68</v>
      </c>
      <c r="M46" s="28">
        <v>0</v>
      </c>
      <c r="N46" s="30">
        <v>570.57000000000005</v>
      </c>
      <c r="O46" s="30">
        <v>86769.43</v>
      </c>
      <c r="P46" s="102">
        <v>86769.43</v>
      </c>
      <c r="Q46" s="104"/>
      <c r="R46" s="105"/>
      <c r="S46" s="109"/>
      <c r="T46" s="26"/>
      <c r="U46" s="26"/>
    </row>
    <row r="47" spans="1:21" ht="18" thickBot="1">
      <c r="A47" s="106" t="s">
        <v>78</v>
      </c>
      <c r="B47" s="107"/>
      <c r="C47" s="28"/>
      <c r="D47" s="30">
        <v>2769.57</v>
      </c>
      <c r="E47" s="30">
        <v>4390.3</v>
      </c>
      <c r="F47" s="30">
        <v>7159.87</v>
      </c>
      <c r="G47" s="30">
        <v>821.15</v>
      </c>
      <c r="H47" s="30">
        <v>1000</v>
      </c>
      <c r="I47" s="28" t="s">
        <v>77</v>
      </c>
      <c r="J47" s="30">
        <v>8981.02</v>
      </c>
      <c r="K47" s="30">
        <v>80829.179999999993</v>
      </c>
      <c r="L47" s="30">
        <v>5369.68</v>
      </c>
      <c r="M47" s="28">
        <v>0</v>
      </c>
      <c r="N47" s="30">
        <v>570.57000000000005</v>
      </c>
      <c r="O47" s="30">
        <v>86769.43</v>
      </c>
      <c r="P47" s="102">
        <v>86769.43</v>
      </c>
      <c r="Q47" s="104"/>
      <c r="R47" s="105"/>
      <c r="S47" s="109"/>
      <c r="T47" s="109"/>
      <c r="U47" s="26"/>
    </row>
    <row r="48" spans="1:21" ht="35" thickBot="1">
      <c r="A48" s="94" t="s">
        <v>44</v>
      </c>
      <c r="B48" s="94" t="s">
        <v>45</v>
      </c>
      <c r="C48" s="28" t="s">
        <v>46</v>
      </c>
      <c r="D48" s="28" t="s">
        <v>47</v>
      </c>
      <c r="E48" s="28" t="s">
        <v>48</v>
      </c>
      <c r="F48" s="28" t="s">
        <v>49</v>
      </c>
      <c r="G48" s="28" t="s">
        <v>50</v>
      </c>
      <c r="H48" s="28" t="s">
        <v>51</v>
      </c>
      <c r="I48" s="28" t="s">
        <v>52</v>
      </c>
      <c r="J48" s="28" t="s">
        <v>53</v>
      </c>
      <c r="K48" s="28" t="s">
        <v>54</v>
      </c>
      <c r="L48" s="28" t="s">
        <v>55</v>
      </c>
      <c r="M48" s="28" t="s">
        <v>56</v>
      </c>
      <c r="N48" s="28" t="s">
        <v>57</v>
      </c>
      <c r="O48" s="28" t="s">
        <v>58</v>
      </c>
      <c r="P48" s="99" t="s">
        <v>59</v>
      </c>
      <c r="Q48" s="100"/>
      <c r="R48" s="100"/>
      <c r="S48" s="100"/>
      <c r="T48" s="101"/>
      <c r="U48" s="26"/>
    </row>
    <row r="49" spans="1:21" ht="17">
      <c r="A49" s="108"/>
      <c r="B49" s="108"/>
      <c r="C49" s="94" t="s">
        <v>60</v>
      </c>
      <c r="D49" s="94" t="s">
        <v>61</v>
      </c>
      <c r="E49" s="94" t="s">
        <v>62</v>
      </c>
      <c r="F49" s="94" t="s">
        <v>63</v>
      </c>
      <c r="G49" s="94" t="s">
        <v>64</v>
      </c>
      <c r="H49" s="94" t="s">
        <v>65</v>
      </c>
      <c r="I49" s="94" t="s">
        <v>66</v>
      </c>
      <c r="J49" s="27" t="s">
        <v>67</v>
      </c>
      <c r="K49" s="94" t="s">
        <v>68</v>
      </c>
      <c r="L49" s="94" t="s">
        <v>69</v>
      </c>
      <c r="M49" s="94" t="s">
        <v>70</v>
      </c>
      <c r="N49" s="94" t="s">
        <v>71</v>
      </c>
      <c r="O49" s="94" t="s">
        <v>72</v>
      </c>
      <c r="P49" s="96" t="s">
        <v>73</v>
      </c>
      <c r="Q49" s="97"/>
      <c r="R49" s="97"/>
      <c r="S49" s="97"/>
      <c r="T49" s="98"/>
      <c r="U49" s="105"/>
    </row>
    <row r="50" spans="1:21" ht="18" thickBot="1">
      <c r="A50" s="95"/>
      <c r="B50" s="95"/>
      <c r="C50" s="95"/>
      <c r="D50" s="95"/>
      <c r="E50" s="95"/>
      <c r="F50" s="95"/>
      <c r="G50" s="95"/>
      <c r="H50" s="95"/>
      <c r="I50" s="95"/>
      <c r="J50" s="28" t="s">
        <v>74</v>
      </c>
      <c r="K50" s="95"/>
      <c r="L50" s="95"/>
      <c r="M50" s="95"/>
      <c r="N50" s="95"/>
      <c r="O50" s="95"/>
      <c r="P50" s="99"/>
      <c r="Q50" s="100"/>
      <c r="R50" s="100"/>
      <c r="S50" s="100"/>
      <c r="T50" s="101"/>
      <c r="U50" s="105"/>
    </row>
    <row r="51" spans="1:21" ht="18" thickBot="1">
      <c r="A51" s="29" t="s">
        <v>25</v>
      </c>
      <c r="B51" s="28" t="s">
        <v>76</v>
      </c>
      <c r="C51" s="28">
        <v>2</v>
      </c>
      <c r="D51" s="30">
        <v>2769.57</v>
      </c>
      <c r="E51" s="30">
        <v>4390.3</v>
      </c>
      <c r="F51" s="30">
        <v>7159.87</v>
      </c>
      <c r="G51" s="30">
        <v>821.15</v>
      </c>
      <c r="H51" s="30">
        <v>1000</v>
      </c>
      <c r="I51" s="28" t="s">
        <v>77</v>
      </c>
      <c r="J51" s="30">
        <v>8981.02</v>
      </c>
      <c r="K51" s="30">
        <v>80829.179999999993</v>
      </c>
      <c r="L51" s="30">
        <v>5369.68</v>
      </c>
      <c r="M51" s="28">
        <v>0</v>
      </c>
      <c r="N51" s="30">
        <v>570.57000000000005</v>
      </c>
      <c r="O51" s="30">
        <v>86769.43</v>
      </c>
      <c r="P51" s="102">
        <v>173538.86</v>
      </c>
      <c r="Q51" s="103"/>
      <c r="R51" s="103"/>
      <c r="S51" s="103"/>
      <c r="T51" s="104"/>
      <c r="U51" s="26"/>
    </row>
    <row r="52" spans="1:21" ht="18" thickBot="1">
      <c r="A52" s="106" t="s">
        <v>78</v>
      </c>
      <c r="B52" s="107"/>
      <c r="C52" s="28"/>
      <c r="D52" s="30">
        <v>2769.57</v>
      </c>
      <c r="E52" s="30">
        <v>4390.3</v>
      </c>
      <c r="F52" s="30">
        <v>7159.87</v>
      </c>
      <c r="G52" s="30">
        <v>821.15</v>
      </c>
      <c r="H52" s="30">
        <v>1000</v>
      </c>
      <c r="I52" s="28" t="s">
        <v>77</v>
      </c>
      <c r="J52" s="30">
        <v>8981.02</v>
      </c>
      <c r="K52" s="30">
        <v>80829.179999999993</v>
      </c>
      <c r="L52" s="30">
        <v>5369.68</v>
      </c>
      <c r="M52" s="28">
        <v>0</v>
      </c>
      <c r="N52" s="30">
        <v>570.57000000000005</v>
      </c>
      <c r="O52" s="30">
        <v>86769.43</v>
      </c>
      <c r="P52" s="31">
        <v>173538.86</v>
      </c>
      <c r="Q52" s="117"/>
      <c r="R52" s="118"/>
      <c r="S52" s="26"/>
      <c r="T52" s="26"/>
      <c r="U52" s="26"/>
    </row>
    <row r="53" spans="1:21" ht="35" thickBot="1">
      <c r="A53" s="94" t="s">
        <v>44</v>
      </c>
      <c r="B53" s="94" t="s">
        <v>45</v>
      </c>
      <c r="C53" s="28" t="s">
        <v>46</v>
      </c>
      <c r="D53" s="28" t="s">
        <v>47</v>
      </c>
      <c r="E53" s="28" t="s">
        <v>48</v>
      </c>
      <c r="F53" s="28" t="s">
        <v>49</v>
      </c>
      <c r="G53" s="28" t="s">
        <v>50</v>
      </c>
      <c r="H53" s="28" t="s">
        <v>51</v>
      </c>
      <c r="I53" s="28" t="s">
        <v>52</v>
      </c>
      <c r="J53" s="28" t="s">
        <v>53</v>
      </c>
      <c r="K53" s="28" t="s">
        <v>54</v>
      </c>
      <c r="L53" s="28" t="s">
        <v>55</v>
      </c>
      <c r="M53" s="28" t="s">
        <v>56</v>
      </c>
      <c r="N53" s="28" t="s">
        <v>57</v>
      </c>
      <c r="O53" s="28" t="s">
        <v>58</v>
      </c>
      <c r="P53" s="19" t="s">
        <v>59</v>
      </c>
      <c r="Q53" s="26"/>
      <c r="R53" s="26"/>
      <c r="S53" s="26"/>
      <c r="T53" s="26"/>
      <c r="U53" s="26"/>
    </row>
    <row r="54" spans="1:21" ht="17">
      <c r="A54" s="108"/>
      <c r="B54" s="108"/>
      <c r="C54" s="94" t="s">
        <v>60</v>
      </c>
      <c r="D54" s="94" t="s">
        <v>61</v>
      </c>
      <c r="E54" s="94" t="s">
        <v>62</v>
      </c>
      <c r="F54" s="94" t="s">
        <v>63</v>
      </c>
      <c r="G54" s="94" t="s">
        <v>64</v>
      </c>
      <c r="H54" s="94" t="s">
        <v>65</v>
      </c>
      <c r="I54" s="94" t="s">
        <v>66</v>
      </c>
      <c r="J54" s="27" t="s">
        <v>67</v>
      </c>
      <c r="K54" s="94" t="s">
        <v>68</v>
      </c>
      <c r="L54" s="94" t="s">
        <v>69</v>
      </c>
      <c r="M54" s="94" t="s">
        <v>70</v>
      </c>
      <c r="N54" s="94" t="s">
        <v>71</v>
      </c>
      <c r="O54" s="94" t="s">
        <v>72</v>
      </c>
      <c r="P54" s="94" t="s">
        <v>73</v>
      </c>
      <c r="Q54" s="105"/>
      <c r="R54" s="109"/>
      <c r="S54" s="109"/>
      <c r="T54" s="109"/>
      <c r="U54" s="109"/>
    </row>
    <row r="55" spans="1:21" ht="18" thickBot="1">
      <c r="A55" s="95"/>
      <c r="B55" s="95"/>
      <c r="C55" s="95"/>
      <c r="D55" s="95"/>
      <c r="E55" s="95"/>
      <c r="F55" s="95"/>
      <c r="G55" s="95"/>
      <c r="H55" s="95"/>
      <c r="I55" s="95"/>
      <c r="J55" s="28" t="s">
        <v>74</v>
      </c>
      <c r="K55" s="95"/>
      <c r="L55" s="95"/>
      <c r="M55" s="95"/>
      <c r="N55" s="95"/>
      <c r="O55" s="95"/>
      <c r="P55" s="95"/>
      <c r="Q55" s="105"/>
      <c r="R55" s="109"/>
      <c r="S55" s="109"/>
      <c r="T55" s="109"/>
      <c r="U55" s="109"/>
    </row>
    <row r="56" spans="1:21" ht="18" thickBot="1">
      <c r="A56" s="29" t="s">
        <v>26</v>
      </c>
      <c r="B56" s="28" t="s">
        <v>76</v>
      </c>
      <c r="C56" s="28">
        <v>1</v>
      </c>
      <c r="D56" s="30">
        <v>2769.57</v>
      </c>
      <c r="E56" s="30">
        <v>4390.3</v>
      </c>
      <c r="F56" s="30">
        <v>7159.87</v>
      </c>
      <c r="G56" s="30">
        <v>821.15</v>
      </c>
      <c r="H56" s="30">
        <v>1000</v>
      </c>
      <c r="I56" s="28" t="s">
        <v>77</v>
      </c>
      <c r="J56" s="30">
        <v>8981.02</v>
      </c>
      <c r="K56" s="30">
        <v>80829.179999999993</v>
      </c>
      <c r="L56" s="30">
        <v>5369.68</v>
      </c>
      <c r="M56" s="28">
        <v>0</v>
      </c>
      <c r="N56" s="30">
        <v>570.57000000000005</v>
      </c>
      <c r="O56" s="30">
        <v>86769.43</v>
      </c>
      <c r="P56" s="31">
        <v>86769.43</v>
      </c>
      <c r="Q56" s="26"/>
      <c r="R56" s="26"/>
      <c r="S56" s="26"/>
      <c r="T56" s="26"/>
      <c r="U56" s="26"/>
    </row>
    <row r="57" spans="1:21" ht="18" thickBot="1">
      <c r="A57" s="92" t="s">
        <v>78</v>
      </c>
      <c r="B57" s="93"/>
      <c r="C57" s="28"/>
      <c r="D57" s="30">
        <v>2769.57</v>
      </c>
      <c r="E57" s="30">
        <v>4390.3</v>
      </c>
      <c r="F57" s="30">
        <v>7159.87</v>
      </c>
      <c r="G57" s="30">
        <v>821.15</v>
      </c>
      <c r="H57" s="30">
        <v>1000</v>
      </c>
      <c r="I57" s="28" t="s">
        <v>77</v>
      </c>
      <c r="J57" s="30">
        <v>8981.02</v>
      </c>
      <c r="K57" s="30">
        <v>80829.179999999993</v>
      </c>
      <c r="L57" s="30">
        <v>5369.68</v>
      </c>
      <c r="M57" s="28">
        <v>0</v>
      </c>
      <c r="N57" s="30">
        <v>570.57000000000005</v>
      </c>
      <c r="O57" s="30">
        <v>86769.43</v>
      </c>
      <c r="P57" s="31">
        <v>86769.43</v>
      </c>
      <c r="Q57" s="26"/>
      <c r="R57" s="26"/>
      <c r="S57" s="26"/>
      <c r="T57" s="26"/>
      <c r="U57" s="26"/>
    </row>
    <row r="58" spans="1:21">
      <c r="A58" s="33"/>
    </row>
    <row r="59" spans="1:21">
      <c r="A59" s="33"/>
    </row>
    <row r="60" spans="1:21">
      <c r="A60" s="33"/>
    </row>
    <row r="61" spans="1:21">
      <c r="A61" s="16" t="s">
        <v>86</v>
      </c>
    </row>
    <row r="62" spans="1:21" ht="17" thickBot="1">
      <c r="A62" s="16"/>
    </row>
    <row r="63" spans="1:21" ht="35" thickBot="1">
      <c r="A63" s="94" t="s">
        <v>44</v>
      </c>
      <c r="B63" s="94" t="s">
        <v>45</v>
      </c>
      <c r="C63" s="23" t="s">
        <v>46</v>
      </c>
      <c r="D63" s="23" t="s">
        <v>47</v>
      </c>
      <c r="E63" s="23" t="s">
        <v>48</v>
      </c>
      <c r="F63" s="23" t="s">
        <v>49</v>
      </c>
      <c r="G63" s="23" t="s">
        <v>50</v>
      </c>
      <c r="H63" s="23" t="s">
        <v>51</v>
      </c>
      <c r="I63" s="23" t="s">
        <v>52</v>
      </c>
      <c r="J63" s="23" t="s">
        <v>53</v>
      </c>
      <c r="K63" s="23" t="s">
        <v>54</v>
      </c>
      <c r="L63" s="23" t="s">
        <v>55</v>
      </c>
      <c r="M63" s="23" t="s">
        <v>56</v>
      </c>
      <c r="N63" s="23" t="s">
        <v>57</v>
      </c>
      <c r="O63" s="23" t="s">
        <v>58</v>
      </c>
      <c r="P63" s="25" t="s">
        <v>59</v>
      </c>
      <c r="Q63" s="26"/>
      <c r="R63" s="26"/>
    </row>
    <row r="64" spans="1:21" ht="17">
      <c r="A64" s="108"/>
      <c r="B64" s="108"/>
      <c r="C64" s="94" t="s">
        <v>60</v>
      </c>
      <c r="D64" s="94" t="s">
        <v>61</v>
      </c>
      <c r="E64" s="94" t="s">
        <v>62</v>
      </c>
      <c r="F64" s="94" t="s">
        <v>63</v>
      </c>
      <c r="G64" s="94" t="s">
        <v>64</v>
      </c>
      <c r="H64" s="94" t="s">
        <v>65</v>
      </c>
      <c r="I64" s="94" t="s">
        <v>66</v>
      </c>
      <c r="J64" s="27" t="s">
        <v>67</v>
      </c>
      <c r="K64" s="94" t="s">
        <v>68</v>
      </c>
      <c r="L64" s="94" t="s">
        <v>69</v>
      </c>
      <c r="M64" s="94" t="s">
        <v>70</v>
      </c>
      <c r="N64" s="94" t="s">
        <v>71</v>
      </c>
      <c r="O64" s="94" t="s">
        <v>72</v>
      </c>
      <c r="P64" s="94" t="s">
        <v>73</v>
      </c>
      <c r="Q64" s="105"/>
      <c r="R64" s="109"/>
    </row>
    <row r="65" spans="1:18" ht="18" thickBot="1">
      <c r="A65" s="95"/>
      <c r="B65" s="95"/>
      <c r="C65" s="95"/>
      <c r="D65" s="95"/>
      <c r="E65" s="95"/>
      <c r="F65" s="95"/>
      <c r="G65" s="95"/>
      <c r="H65" s="95"/>
      <c r="I65" s="95"/>
      <c r="J65" s="28" t="s">
        <v>74</v>
      </c>
      <c r="K65" s="95"/>
      <c r="L65" s="95"/>
      <c r="M65" s="95"/>
      <c r="N65" s="95"/>
      <c r="O65" s="95"/>
      <c r="P65" s="95"/>
      <c r="Q65" s="105"/>
      <c r="R65" s="109"/>
    </row>
    <row r="66" spans="1:18" ht="18" thickBot="1">
      <c r="A66" s="29" t="s">
        <v>27</v>
      </c>
      <c r="B66" s="28" t="s">
        <v>82</v>
      </c>
      <c r="C66" s="28">
        <v>5</v>
      </c>
      <c r="D66" s="30">
        <v>2182.59</v>
      </c>
      <c r="E66" s="30">
        <v>2604.88</v>
      </c>
      <c r="F66" s="30">
        <v>4787.47</v>
      </c>
      <c r="G66" s="30">
        <v>489.06</v>
      </c>
      <c r="H66" s="30">
        <v>1000</v>
      </c>
      <c r="I66" s="28" t="s">
        <v>77</v>
      </c>
      <c r="J66" s="30">
        <v>6840.71</v>
      </c>
      <c r="K66" s="30">
        <v>56488.77</v>
      </c>
      <c r="L66" s="30">
        <v>3590.6</v>
      </c>
      <c r="M66" s="28">
        <v>0</v>
      </c>
      <c r="N66" s="30">
        <v>329.68</v>
      </c>
      <c r="O66" s="30">
        <v>60409.05</v>
      </c>
      <c r="P66" s="31">
        <v>302045.25</v>
      </c>
      <c r="Q66" s="26"/>
      <c r="R66" s="26"/>
    </row>
    <row r="67" spans="1:18" ht="18" thickBot="1">
      <c r="A67" s="106" t="s">
        <v>78</v>
      </c>
      <c r="B67" s="107"/>
      <c r="C67" s="28"/>
      <c r="D67" s="30">
        <v>2182.59</v>
      </c>
      <c r="E67" s="30">
        <v>2604.88</v>
      </c>
      <c r="F67" s="30">
        <v>4787.47</v>
      </c>
      <c r="G67" s="30">
        <v>489.06</v>
      </c>
      <c r="H67" s="30">
        <v>1000</v>
      </c>
      <c r="I67" s="28" t="s">
        <v>77</v>
      </c>
      <c r="J67" s="30">
        <v>6840.71</v>
      </c>
      <c r="K67" s="30">
        <v>56488.77</v>
      </c>
      <c r="L67" s="30">
        <v>3590.6</v>
      </c>
      <c r="M67" s="28">
        <v>0</v>
      </c>
      <c r="N67" s="30">
        <v>329.68</v>
      </c>
      <c r="O67" s="30">
        <v>60409.05</v>
      </c>
      <c r="P67" s="31">
        <v>302045.25</v>
      </c>
      <c r="Q67" s="26"/>
      <c r="R67" s="26"/>
    </row>
    <row r="68" spans="1:18" ht="35" thickBot="1">
      <c r="A68" s="94" t="s">
        <v>44</v>
      </c>
      <c r="B68" s="94" t="s">
        <v>45</v>
      </c>
      <c r="C68" s="28" t="s">
        <v>46</v>
      </c>
      <c r="D68" s="28" t="s">
        <v>47</v>
      </c>
      <c r="E68" s="28" t="s">
        <v>48</v>
      </c>
      <c r="F68" s="28" t="s">
        <v>49</v>
      </c>
      <c r="G68" s="28" t="s">
        <v>50</v>
      </c>
      <c r="H68" s="28" t="s">
        <v>51</v>
      </c>
      <c r="I68" s="28" t="s">
        <v>52</v>
      </c>
      <c r="J68" s="28" t="s">
        <v>53</v>
      </c>
      <c r="K68" s="28" t="s">
        <v>54</v>
      </c>
      <c r="L68" s="28" t="s">
        <v>55</v>
      </c>
      <c r="M68" s="28" t="s">
        <v>56</v>
      </c>
      <c r="N68" s="28" t="s">
        <v>57</v>
      </c>
      <c r="O68" s="28" t="s">
        <v>58</v>
      </c>
      <c r="P68" s="99" t="s">
        <v>59</v>
      </c>
      <c r="Q68" s="101"/>
      <c r="R68" s="26"/>
    </row>
    <row r="69" spans="1:18" ht="17">
      <c r="A69" s="108"/>
      <c r="B69" s="108"/>
      <c r="C69" s="94" t="s">
        <v>60</v>
      </c>
      <c r="D69" s="94" t="s">
        <v>61</v>
      </c>
      <c r="E69" s="94" t="s">
        <v>62</v>
      </c>
      <c r="F69" s="94" t="s">
        <v>63</v>
      </c>
      <c r="G69" s="94" t="s">
        <v>64</v>
      </c>
      <c r="H69" s="94" t="s">
        <v>65</v>
      </c>
      <c r="I69" s="94" t="s">
        <v>66</v>
      </c>
      <c r="J69" s="27" t="s">
        <v>67</v>
      </c>
      <c r="K69" s="94" t="s">
        <v>68</v>
      </c>
      <c r="L69" s="94" t="s">
        <v>69</v>
      </c>
      <c r="M69" s="94" t="s">
        <v>70</v>
      </c>
      <c r="N69" s="94" t="s">
        <v>71</v>
      </c>
      <c r="O69" s="94" t="s">
        <v>72</v>
      </c>
      <c r="P69" s="96" t="s">
        <v>73</v>
      </c>
      <c r="Q69" s="98"/>
      <c r="R69" s="105"/>
    </row>
    <row r="70" spans="1:18" ht="18" thickBot="1">
      <c r="A70" s="95"/>
      <c r="B70" s="95"/>
      <c r="C70" s="95"/>
      <c r="D70" s="95"/>
      <c r="E70" s="95"/>
      <c r="F70" s="95"/>
      <c r="G70" s="95"/>
      <c r="H70" s="95"/>
      <c r="I70" s="95"/>
      <c r="J70" s="28" t="s">
        <v>74</v>
      </c>
      <c r="K70" s="95"/>
      <c r="L70" s="95"/>
      <c r="M70" s="95"/>
      <c r="N70" s="95"/>
      <c r="O70" s="95"/>
      <c r="P70" s="99"/>
      <c r="Q70" s="101"/>
      <c r="R70" s="105"/>
    </row>
    <row r="71" spans="1:18" ht="17">
      <c r="A71" s="34" t="s">
        <v>83</v>
      </c>
      <c r="B71" s="94" t="s">
        <v>82</v>
      </c>
      <c r="C71" s="94">
        <v>4</v>
      </c>
      <c r="D71" s="111">
        <v>2182.59</v>
      </c>
      <c r="E71" s="111">
        <v>2604.88</v>
      </c>
      <c r="F71" s="111">
        <v>4787.47</v>
      </c>
      <c r="G71" s="111">
        <v>489.06</v>
      </c>
      <c r="H71" s="111">
        <v>1000</v>
      </c>
      <c r="I71" s="94" t="s">
        <v>77</v>
      </c>
      <c r="J71" s="111">
        <v>6276.53</v>
      </c>
      <c r="K71" s="111">
        <v>56488.77</v>
      </c>
      <c r="L71" s="111">
        <v>3590.6</v>
      </c>
      <c r="M71" s="94">
        <v>0</v>
      </c>
      <c r="N71" s="111">
        <v>329.68</v>
      </c>
      <c r="O71" s="111">
        <v>60409.05</v>
      </c>
      <c r="P71" s="113">
        <v>241636.2</v>
      </c>
      <c r="Q71" s="114"/>
      <c r="R71" s="105"/>
    </row>
    <row r="72" spans="1:18" ht="18" thickBot="1">
      <c r="A72" s="29" t="s">
        <v>84</v>
      </c>
      <c r="B72" s="95"/>
      <c r="C72" s="95"/>
      <c r="D72" s="112"/>
      <c r="E72" s="112"/>
      <c r="F72" s="112"/>
      <c r="G72" s="112"/>
      <c r="H72" s="112"/>
      <c r="I72" s="95"/>
      <c r="J72" s="112"/>
      <c r="K72" s="112"/>
      <c r="L72" s="112"/>
      <c r="M72" s="95"/>
      <c r="N72" s="112"/>
      <c r="O72" s="112"/>
      <c r="P72" s="115"/>
      <c r="Q72" s="116"/>
      <c r="R72" s="105"/>
    </row>
    <row r="73" spans="1:18" ht="18" thickBot="1">
      <c r="A73" s="106" t="s">
        <v>78</v>
      </c>
      <c r="B73" s="107"/>
      <c r="C73" s="28"/>
      <c r="D73" s="30">
        <v>2182.59</v>
      </c>
      <c r="E73" s="30">
        <v>2604.88</v>
      </c>
      <c r="F73" s="30">
        <v>4787.47</v>
      </c>
      <c r="G73" s="30">
        <v>489.06</v>
      </c>
      <c r="H73" s="30">
        <v>1000</v>
      </c>
      <c r="I73" s="28" t="s">
        <v>77</v>
      </c>
      <c r="J73" s="30">
        <v>6276.53</v>
      </c>
      <c r="K73" s="30">
        <v>56488.77</v>
      </c>
      <c r="L73" s="30">
        <v>3590.6</v>
      </c>
      <c r="M73" s="28">
        <v>0</v>
      </c>
      <c r="N73" s="30">
        <v>329.68</v>
      </c>
      <c r="O73" s="30">
        <v>60409.05</v>
      </c>
      <c r="P73" s="102">
        <v>241636.2</v>
      </c>
      <c r="Q73" s="104"/>
      <c r="R73" s="26"/>
    </row>
    <row r="74" spans="1:18" ht="35" thickBot="1">
      <c r="A74" s="94" t="s">
        <v>44</v>
      </c>
      <c r="B74" s="94" t="s">
        <v>45</v>
      </c>
      <c r="C74" s="28" t="s">
        <v>46</v>
      </c>
      <c r="D74" s="28" t="s">
        <v>47</v>
      </c>
      <c r="E74" s="28" t="s">
        <v>48</v>
      </c>
      <c r="F74" s="28" t="s">
        <v>49</v>
      </c>
      <c r="G74" s="28" t="s">
        <v>50</v>
      </c>
      <c r="H74" s="28" t="s">
        <v>51</v>
      </c>
      <c r="I74" s="28" t="s">
        <v>52</v>
      </c>
      <c r="J74" s="28" t="s">
        <v>53</v>
      </c>
      <c r="K74" s="28" t="s">
        <v>54</v>
      </c>
      <c r="L74" s="28" t="s">
        <v>55</v>
      </c>
      <c r="M74" s="28" t="s">
        <v>56</v>
      </c>
      <c r="N74" s="28" t="s">
        <v>57</v>
      </c>
      <c r="O74" s="28" t="s">
        <v>58</v>
      </c>
      <c r="P74" s="99" t="s">
        <v>59</v>
      </c>
      <c r="Q74" s="100"/>
      <c r="R74" s="101"/>
    </row>
    <row r="75" spans="1:18" ht="17">
      <c r="A75" s="108"/>
      <c r="B75" s="108"/>
      <c r="C75" s="94" t="s">
        <v>60</v>
      </c>
      <c r="D75" s="94" t="s">
        <v>61</v>
      </c>
      <c r="E75" s="94" t="s">
        <v>62</v>
      </c>
      <c r="F75" s="94" t="s">
        <v>63</v>
      </c>
      <c r="G75" s="94" t="s">
        <v>64</v>
      </c>
      <c r="H75" s="94" t="s">
        <v>65</v>
      </c>
      <c r="I75" s="94" t="s">
        <v>66</v>
      </c>
      <c r="J75" s="27" t="s">
        <v>67</v>
      </c>
      <c r="K75" s="94" t="s">
        <v>68</v>
      </c>
      <c r="L75" s="94" t="s">
        <v>69</v>
      </c>
      <c r="M75" s="94" t="s">
        <v>70</v>
      </c>
      <c r="N75" s="94" t="s">
        <v>71</v>
      </c>
      <c r="O75" s="94" t="s">
        <v>72</v>
      </c>
      <c r="P75" s="96" t="s">
        <v>73</v>
      </c>
      <c r="Q75" s="97"/>
      <c r="R75" s="98"/>
    </row>
    <row r="76" spans="1:18" ht="18" thickBot="1">
      <c r="A76" s="95"/>
      <c r="B76" s="95"/>
      <c r="C76" s="95"/>
      <c r="D76" s="95"/>
      <c r="E76" s="95"/>
      <c r="F76" s="95"/>
      <c r="G76" s="95"/>
      <c r="H76" s="95"/>
      <c r="I76" s="95"/>
      <c r="J76" s="28" t="s">
        <v>74</v>
      </c>
      <c r="K76" s="95"/>
      <c r="L76" s="95"/>
      <c r="M76" s="95"/>
      <c r="N76" s="95"/>
      <c r="O76" s="95"/>
      <c r="P76" s="99"/>
      <c r="Q76" s="100"/>
      <c r="R76" s="101"/>
    </row>
    <row r="77" spans="1:18" ht="18" thickBot="1">
      <c r="A77" s="29" t="s">
        <v>29</v>
      </c>
      <c r="B77" s="28" t="s">
        <v>82</v>
      </c>
      <c r="C77" s="28">
        <v>1</v>
      </c>
      <c r="D77" s="30">
        <v>2182.59</v>
      </c>
      <c r="E77" s="30">
        <v>2604.88</v>
      </c>
      <c r="F77" s="30">
        <v>4787.47</v>
      </c>
      <c r="G77" s="30">
        <v>489.06</v>
      </c>
      <c r="H77" s="30">
        <v>1000</v>
      </c>
      <c r="I77" s="28" t="s">
        <v>77</v>
      </c>
      <c r="J77" s="30">
        <v>6276.53</v>
      </c>
      <c r="K77" s="30">
        <v>56488.77</v>
      </c>
      <c r="L77" s="30">
        <v>3590.6</v>
      </c>
      <c r="M77" s="28">
        <v>0</v>
      </c>
      <c r="N77" s="30">
        <v>329.68</v>
      </c>
      <c r="O77" s="30">
        <v>60409.05</v>
      </c>
      <c r="P77" s="102">
        <v>60409.05</v>
      </c>
      <c r="Q77" s="103"/>
      <c r="R77" s="104"/>
    </row>
    <row r="78" spans="1:18" ht="18" thickBot="1">
      <c r="A78" s="92" t="s">
        <v>78</v>
      </c>
      <c r="B78" s="93"/>
      <c r="C78" s="28"/>
      <c r="D78" s="30">
        <v>2182.59</v>
      </c>
      <c r="E78" s="30">
        <v>2604.88</v>
      </c>
      <c r="F78" s="30">
        <v>4787.47</v>
      </c>
      <c r="G78" s="30">
        <v>489.06</v>
      </c>
      <c r="H78" s="30">
        <v>1000</v>
      </c>
      <c r="I78" s="28" t="s">
        <v>77</v>
      </c>
      <c r="J78" s="30">
        <v>6276.53</v>
      </c>
      <c r="K78" s="30">
        <v>56488.77</v>
      </c>
      <c r="L78" s="30">
        <v>3590.6</v>
      </c>
      <c r="M78" s="28">
        <v>0</v>
      </c>
      <c r="N78" s="30">
        <v>329.68</v>
      </c>
      <c r="O78" s="30">
        <v>60409.05</v>
      </c>
      <c r="P78" s="102">
        <v>60409.05</v>
      </c>
      <c r="Q78" s="103"/>
      <c r="R78" s="104"/>
    </row>
    <row r="79" spans="1:18" ht="35" thickBot="1">
      <c r="A79" s="94" t="s">
        <v>44</v>
      </c>
      <c r="B79" s="94" t="s">
        <v>45</v>
      </c>
      <c r="C79" s="28" t="s">
        <v>46</v>
      </c>
      <c r="D79" s="28" t="s">
        <v>47</v>
      </c>
      <c r="E79" s="28" t="s">
        <v>48</v>
      </c>
      <c r="F79" s="28" t="s">
        <v>49</v>
      </c>
      <c r="G79" s="28" t="s">
        <v>50</v>
      </c>
      <c r="H79" s="28" t="s">
        <v>51</v>
      </c>
      <c r="I79" s="28" t="s">
        <v>52</v>
      </c>
      <c r="J79" s="28" t="s">
        <v>53</v>
      </c>
      <c r="K79" s="28" t="s">
        <v>54</v>
      </c>
      <c r="L79" s="28" t="s">
        <v>55</v>
      </c>
      <c r="M79" s="28" t="s">
        <v>56</v>
      </c>
      <c r="N79" s="28" t="s">
        <v>57</v>
      </c>
      <c r="O79" s="28" t="s">
        <v>58</v>
      </c>
      <c r="P79" s="92" t="s">
        <v>59</v>
      </c>
      <c r="Q79" s="110"/>
      <c r="R79" s="93"/>
    </row>
    <row r="80" spans="1:18" ht="17">
      <c r="A80" s="108"/>
      <c r="B80" s="108"/>
      <c r="C80" s="94" t="s">
        <v>60</v>
      </c>
      <c r="D80" s="94" t="s">
        <v>61</v>
      </c>
      <c r="E80" s="94" t="s">
        <v>62</v>
      </c>
      <c r="F80" s="94" t="s">
        <v>63</v>
      </c>
      <c r="G80" s="94" t="s">
        <v>64</v>
      </c>
      <c r="H80" s="94" t="s">
        <v>65</v>
      </c>
      <c r="I80" s="94" t="s">
        <v>66</v>
      </c>
      <c r="J80" s="27" t="s">
        <v>67</v>
      </c>
      <c r="K80" s="94" t="s">
        <v>68</v>
      </c>
      <c r="L80" s="94" t="s">
        <v>69</v>
      </c>
      <c r="M80" s="94" t="s">
        <v>70</v>
      </c>
      <c r="N80" s="94" t="s">
        <v>71</v>
      </c>
      <c r="O80" s="94" t="s">
        <v>72</v>
      </c>
      <c r="P80" s="96" t="s">
        <v>73</v>
      </c>
      <c r="Q80" s="97"/>
      <c r="R80" s="98"/>
    </row>
    <row r="81" spans="1:18" ht="18" thickBot="1">
      <c r="A81" s="95"/>
      <c r="B81" s="95"/>
      <c r="C81" s="95"/>
      <c r="D81" s="95"/>
      <c r="E81" s="95"/>
      <c r="F81" s="95"/>
      <c r="G81" s="95"/>
      <c r="H81" s="95"/>
      <c r="I81" s="95"/>
      <c r="J81" s="28" t="s">
        <v>74</v>
      </c>
      <c r="K81" s="95"/>
      <c r="L81" s="95"/>
      <c r="M81" s="95"/>
      <c r="N81" s="95"/>
      <c r="O81" s="95"/>
      <c r="P81" s="99"/>
      <c r="Q81" s="100"/>
      <c r="R81" s="101"/>
    </row>
    <row r="82" spans="1:18" ht="18" thickBot="1">
      <c r="A82" s="29" t="s">
        <v>30</v>
      </c>
      <c r="B82" s="28" t="s">
        <v>82</v>
      </c>
      <c r="C82" s="28">
        <v>15</v>
      </c>
      <c r="D82" s="30">
        <v>2182.59</v>
      </c>
      <c r="E82" s="30">
        <v>2604.88</v>
      </c>
      <c r="F82" s="30">
        <v>4787.47</v>
      </c>
      <c r="G82" s="30">
        <v>489.06</v>
      </c>
      <c r="H82" s="30">
        <v>1000</v>
      </c>
      <c r="I82" s="28" t="s">
        <v>77</v>
      </c>
      <c r="J82" s="30">
        <v>6276.53</v>
      </c>
      <c r="K82" s="30">
        <v>56488.77</v>
      </c>
      <c r="L82" s="30">
        <v>3590.6</v>
      </c>
      <c r="M82" s="28">
        <v>0</v>
      </c>
      <c r="N82" s="30">
        <v>329.68</v>
      </c>
      <c r="O82" s="30">
        <v>60409.05</v>
      </c>
      <c r="P82" s="102">
        <v>906135.75</v>
      </c>
      <c r="Q82" s="103"/>
      <c r="R82" s="104"/>
    </row>
    <row r="83" spans="1:18" ht="18" thickBot="1">
      <c r="A83" s="106" t="s">
        <v>78</v>
      </c>
      <c r="B83" s="107"/>
      <c r="C83" s="28"/>
      <c r="D83" s="30">
        <v>2182.59</v>
      </c>
      <c r="E83" s="30">
        <v>2604.88</v>
      </c>
      <c r="F83" s="30">
        <v>4787.47</v>
      </c>
      <c r="G83" s="30">
        <v>489.06</v>
      </c>
      <c r="H83" s="30">
        <v>1000</v>
      </c>
      <c r="I83" s="28" t="s">
        <v>77</v>
      </c>
      <c r="J83" s="30">
        <v>6276.53</v>
      </c>
      <c r="K83" s="30">
        <v>56488.77</v>
      </c>
      <c r="L83" s="30">
        <v>3590.6</v>
      </c>
      <c r="M83" s="28">
        <v>0</v>
      </c>
      <c r="N83" s="30">
        <v>329.68</v>
      </c>
      <c r="O83" s="30">
        <v>60409.05</v>
      </c>
      <c r="P83" s="102">
        <v>906135.75</v>
      </c>
      <c r="Q83" s="103"/>
      <c r="R83" s="104"/>
    </row>
    <row r="84" spans="1:18">
      <c r="A84" s="16" t="s">
        <v>86</v>
      </c>
    </row>
    <row r="85" spans="1:18" ht="17" thickBot="1">
      <c r="A85" s="24"/>
    </row>
    <row r="86" spans="1:18" ht="35" thickBot="1">
      <c r="A86" s="94" t="s">
        <v>44</v>
      </c>
      <c r="B86" s="94" t="s">
        <v>45</v>
      </c>
      <c r="C86" s="23" t="s">
        <v>46</v>
      </c>
      <c r="D86" s="23" t="s">
        <v>47</v>
      </c>
      <c r="E86" s="23" t="s">
        <v>48</v>
      </c>
      <c r="F86" s="23" t="s">
        <v>49</v>
      </c>
      <c r="G86" s="23" t="s">
        <v>50</v>
      </c>
      <c r="H86" s="23" t="s">
        <v>51</v>
      </c>
      <c r="I86" s="23" t="s">
        <v>52</v>
      </c>
      <c r="J86" s="23" t="s">
        <v>53</v>
      </c>
      <c r="K86" s="23" t="s">
        <v>54</v>
      </c>
      <c r="L86" s="23" t="s">
        <v>55</v>
      </c>
      <c r="M86" s="23" t="s">
        <v>56</v>
      </c>
      <c r="N86" s="23" t="s">
        <v>57</v>
      </c>
      <c r="O86" s="23" t="s">
        <v>58</v>
      </c>
      <c r="P86" s="25" t="s">
        <v>59</v>
      </c>
      <c r="Q86" s="26"/>
      <c r="R86" s="26"/>
    </row>
    <row r="87" spans="1:18" ht="17">
      <c r="A87" s="108"/>
      <c r="B87" s="108"/>
      <c r="C87" s="94" t="s">
        <v>60</v>
      </c>
      <c r="D87" s="94" t="s">
        <v>61</v>
      </c>
      <c r="E87" s="94" t="s">
        <v>62</v>
      </c>
      <c r="F87" s="94" t="s">
        <v>63</v>
      </c>
      <c r="G87" s="94" t="s">
        <v>64</v>
      </c>
      <c r="H87" s="94" t="s">
        <v>65</v>
      </c>
      <c r="I87" s="94" t="s">
        <v>66</v>
      </c>
      <c r="J87" s="27" t="s">
        <v>67</v>
      </c>
      <c r="K87" s="94" t="s">
        <v>68</v>
      </c>
      <c r="L87" s="94" t="s">
        <v>69</v>
      </c>
      <c r="M87" s="94" t="s">
        <v>70</v>
      </c>
      <c r="N87" s="94" t="s">
        <v>71</v>
      </c>
      <c r="O87" s="94" t="s">
        <v>72</v>
      </c>
      <c r="P87" s="94" t="s">
        <v>73</v>
      </c>
      <c r="Q87" s="105"/>
      <c r="R87" s="109"/>
    </row>
    <row r="88" spans="1:18" ht="18" thickBot="1">
      <c r="A88" s="95"/>
      <c r="B88" s="95"/>
      <c r="C88" s="95"/>
      <c r="D88" s="95"/>
      <c r="E88" s="95"/>
      <c r="F88" s="95"/>
      <c r="G88" s="95"/>
      <c r="H88" s="95"/>
      <c r="I88" s="95"/>
      <c r="J88" s="28" t="s">
        <v>74</v>
      </c>
      <c r="K88" s="95"/>
      <c r="L88" s="95"/>
      <c r="M88" s="95"/>
      <c r="N88" s="95"/>
      <c r="O88" s="95"/>
      <c r="P88" s="95"/>
      <c r="Q88" s="105"/>
      <c r="R88" s="109"/>
    </row>
    <row r="89" spans="1:18" ht="18" thickBot="1">
      <c r="A89" s="29" t="s">
        <v>31</v>
      </c>
      <c r="B89" s="28" t="s">
        <v>82</v>
      </c>
      <c r="C89" s="28">
        <v>1</v>
      </c>
      <c r="D89" s="30">
        <v>2182.59</v>
      </c>
      <c r="E89" s="30">
        <v>2604.88</v>
      </c>
      <c r="F89" s="30">
        <v>4787.47</v>
      </c>
      <c r="G89" s="30">
        <v>489.06</v>
      </c>
      <c r="H89" s="30">
        <v>1000</v>
      </c>
      <c r="I89" s="28" t="s">
        <v>77</v>
      </c>
      <c r="J89" s="30">
        <v>6276.53</v>
      </c>
      <c r="K89" s="30">
        <v>56488.77</v>
      </c>
      <c r="L89" s="30">
        <v>3590.6</v>
      </c>
      <c r="M89" s="28">
        <v>0</v>
      </c>
      <c r="N89" s="30">
        <v>329.68</v>
      </c>
      <c r="O89" s="30">
        <v>60409.05</v>
      </c>
      <c r="P89" s="31">
        <v>60409.05</v>
      </c>
      <c r="Q89" s="26"/>
      <c r="R89" s="26"/>
    </row>
    <row r="90" spans="1:18" ht="18" thickBot="1">
      <c r="A90" s="106" t="s">
        <v>78</v>
      </c>
      <c r="B90" s="107"/>
      <c r="C90" s="28"/>
      <c r="D90" s="30">
        <v>2182.59</v>
      </c>
      <c r="E90" s="30">
        <v>2604.88</v>
      </c>
      <c r="F90" s="30">
        <v>4787.47</v>
      </c>
      <c r="G90" s="30">
        <v>489.06</v>
      </c>
      <c r="H90" s="30">
        <v>1000</v>
      </c>
      <c r="I90" s="28" t="s">
        <v>77</v>
      </c>
      <c r="J90" s="30">
        <v>6276.53</v>
      </c>
      <c r="K90" s="30">
        <v>56488.77</v>
      </c>
      <c r="L90" s="30">
        <v>3590.6</v>
      </c>
      <c r="M90" s="28">
        <v>0</v>
      </c>
      <c r="N90" s="30">
        <v>329.68</v>
      </c>
      <c r="O90" s="30">
        <v>60409.05</v>
      </c>
      <c r="P90" s="31">
        <v>60409.05</v>
      </c>
      <c r="Q90" s="26"/>
      <c r="R90" s="26"/>
    </row>
    <row r="91" spans="1:18" ht="35" thickBot="1">
      <c r="A91" s="94" t="s">
        <v>44</v>
      </c>
      <c r="B91" s="94" t="s">
        <v>45</v>
      </c>
      <c r="C91" s="28" t="s">
        <v>46</v>
      </c>
      <c r="D91" s="28" t="s">
        <v>47</v>
      </c>
      <c r="E91" s="28" t="s">
        <v>48</v>
      </c>
      <c r="F91" s="28" t="s">
        <v>49</v>
      </c>
      <c r="G91" s="28" t="s">
        <v>50</v>
      </c>
      <c r="H91" s="28" t="s">
        <v>51</v>
      </c>
      <c r="I91" s="28" t="s">
        <v>52</v>
      </c>
      <c r="J91" s="28" t="s">
        <v>53</v>
      </c>
      <c r="K91" s="28" t="s">
        <v>54</v>
      </c>
      <c r="L91" s="28" t="s">
        <v>55</v>
      </c>
      <c r="M91" s="28" t="s">
        <v>56</v>
      </c>
      <c r="N91" s="28" t="s">
        <v>57</v>
      </c>
      <c r="O91" s="28" t="s">
        <v>58</v>
      </c>
      <c r="P91" s="99" t="s">
        <v>59</v>
      </c>
      <c r="Q91" s="101"/>
      <c r="R91" s="26"/>
    </row>
    <row r="92" spans="1:18" ht="17">
      <c r="A92" s="108"/>
      <c r="B92" s="108"/>
      <c r="C92" s="94" t="s">
        <v>60</v>
      </c>
      <c r="D92" s="94" t="s">
        <v>61</v>
      </c>
      <c r="E92" s="94" t="s">
        <v>62</v>
      </c>
      <c r="F92" s="94" t="s">
        <v>63</v>
      </c>
      <c r="G92" s="94" t="s">
        <v>64</v>
      </c>
      <c r="H92" s="94" t="s">
        <v>65</v>
      </c>
      <c r="I92" s="94" t="s">
        <v>66</v>
      </c>
      <c r="J92" s="27" t="s">
        <v>67</v>
      </c>
      <c r="K92" s="94" t="s">
        <v>68</v>
      </c>
      <c r="L92" s="94" t="s">
        <v>69</v>
      </c>
      <c r="M92" s="94" t="s">
        <v>70</v>
      </c>
      <c r="N92" s="94" t="s">
        <v>71</v>
      </c>
      <c r="O92" s="94" t="s">
        <v>72</v>
      </c>
      <c r="P92" s="96" t="s">
        <v>73</v>
      </c>
      <c r="Q92" s="98"/>
      <c r="R92" s="105"/>
    </row>
    <row r="93" spans="1:18" ht="18" thickBot="1">
      <c r="A93" s="95"/>
      <c r="B93" s="95"/>
      <c r="C93" s="95"/>
      <c r="D93" s="95"/>
      <c r="E93" s="95"/>
      <c r="F93" s="95"/>
      <c r="G93" s="95"/>
      <c r="H93" s="95"/>
      <c r="I93" s="95"/>
      <c r="J93" s="28" t="s">
        <v>74</v>
      </c>
      <c r="K93" s="95"/>
      <c r="L93" s="95"/>
      <c r="M93" s="95"/>
      <c r="N93" s="95"/>
      <c r="O93" s="95"/>
      <c r="P93" s="99"/>
      <c r="Q93" s="101"/>
      <c r="R93" s="105"/>
    </row>
    <row r="94" spans="1:18" ht="18" thickBot="1">
      <c r="A94" s="29" t="s">
        <v>32</v>
      </c>
      <c r="B94" s="28" t="s">
        <v>82</v>
      </c>
      <c r="C94" s="28">
        <v>1</v>
      </c>
      <c r="D94" s="30">
        <v>2182.59</v>
      </c>
      <c r="E94" s="30">
        <v>2604.88</v>
      </c>
      <c r="F94" s="30">
        <v>4787.47</v>
      </c>
      <c r="G94" s="30">
        <v>489.06</v>
      </c>
      <c r="H94" s="30">
        <v>1000</v>
      </c>
      <c r="I94" s="28" t="s">
        <v>77</v>
      </c>
      <c r="J94" s="30">
        <v>6276.53</v>
      </c>
      <c r="K94" s="30">
        <v>56488.77</v>
      </c>
      <c r="L94" s="30">
        <v>3590.6</v>
      </c>
      <c r="M94" s="28">
        <v>0</v>
      </c>
      <c r="N94" s="30">
        <v>329.68</v>
      </c>
      <c r="O94" s="30">
        <v>60409.05</v>
      </c>
      <c r="P94" s="102">
        <v>60409.05</v>
      </c>
      <c r="Q94" s="104"/>
      <c r="R94" s="26"/>
    </row>
    <row r="95" spans="1:18" ht="18" thickBot="1">
      <c r="A95" s="106" t="s">
        <v>78</v>
      </c>
      <c r="B95" s="107"/>
      <c r="C95" s="28"/>
      <c r="D95" s="30">
        <v>2182.59</v>
      </c>
      <c r="E95" s="30">
        <v>2604.88</v>
      </c>
      <c r="F95" s="30">
        <v>4787.47</v>
      </c>
      <c r="G95" s="30">
        <v>489.06</v>
      </c>
      <c r="H95" s="30">
        <v>1000</v>
      </c>
      <c r="I95" s="28" t="s">
        <v>77</v>
      </c>
      <c r="J95" s="30">
        <v>6276.53</v>
      </c>
      <c r="K95" s="30">
        <v>56488.77</v>
      </c>
      <c r="L95" s="30">
        <v>3590.6</v>
      </c>
      <c r="M95" s="28">
        <v>0</v>
      </c>
      <c r="N95" s="30">
        <v>329.68</v>
      </c>
      <c r="O95" s="30">
        <v>60409.05</v>
      </c>
      <c r="P95" s="102">
        <v>60409.05</v>
      </c>
      <c r="Q95" s="104"/>
      <c r="R95" s="26"/>
    </row>
    <row r="96" spans="1:18" ht="35" thickBot="1">
      <c r="A96" s="94" t="s">
        <v>44</v>
      </c>
      <c r="B96" s="94" t="s">
        <v>45</v>
      </c>
      <c r="C96" s="28" t="s">
        <v>46</v>
      </c>
      <c r="D96" s="28" t="s">
        <v>47</v>
      </c>
      <c r="E96" s="28" t="s">
        <v>48</v>
      </c>
      <c r="F96" s="28" t="s">
        <v>49</v>
      </c>
      <c r="G96" s="28" t="s">
        <v>50</v>
      </c>
      <c r="H96" s="28" t="s">
        <v>51</v>
      </c>
      <c r="I96" s="28" t="s">
        <v>52</v>
      </c>
      <c r="J96" s="28" t="s">
        <v>53</v>
      </c>
      <c r="K96" s="28" t="s">
        <v>54</v>
      </c>
      <c r="L96" s="28" t="s">
        <v>55</v>
      </c>
      <c r="M96" s="28" t="s">
        <v>56</v>
      </c>
      <c r="N96" s="28" t="s">
        <v>57</v>
      </c>
      <c r="O96" s="28" t="s">
        <v>58</v>
      </c>
      <c r="P96" s="99" t="s">
        <v>59</v>
      </c>
      <c r="Q96" s="100"/>
      <c r="R96" s="101"/>
    </row>
    <row r="97" spans="1:18" ht="17">
      <c r="A97" s="108"/>
      <c r="B97" s="108"/>
      <c r="C97" s="94" t="s">
        <v>60</v>
      </c>
      <c r="D97" s="94" t="s">
        <v>61</v>
      </c>
      <c r="E97" s="94" t="s">
        <v>62</v>
      </c>
      <c r="F97" s="94" t="s">
        <v>63</v>
      </c>
      <c r="G97" s="94" t="s">
        <v>64</v>
      </c>
      <c r="H97" s="94" t="s">
        <v>65</v>
      </c>
      <c r="I97" s="94" t="s">
        <v>66</v>
      </c>
      <c r="J97" s="27" t="s">
        <v>67</v>
      </c>
      <c r="K97" s="94" t="s">
        <v>68</v>
      </c>
      <c r="L97" s="94" t="s">
        <v>69</v>
      </c>
      <c r="M97" s="94" t="s">
        <v>70</v>
      </c>
      <c r="N97" s="94" t="s">
        <v>71</v>
      </c>
      <c r="O97" s="94" t="s">
        <v>72</v>
      </c>
      <c r="P97" s="96" t="s">
        <v>73</v>
      </c>
      <c r="Q97" s="97"/>
      <c r="R97" s="98"/>
    </row>
    <row r="98" spans="1:18" ht="18" thickBot="1">
      <c r="A98" s="95"/>
      <c r="B98" s="95"/>
      <c r="C98" s="95"/>
      <c r="D98" s="95"/>
      <c r="E98" s="95"/>
      <c r="F98" s="95"/>
      <c r="G98" s="95"/>
      <c r="H98" s="95"/>
      <c r="I98" s="95"/>
      <c r="J98" s="28" t="s">
        <v>74</v>
      </c>
      <c r="K98" s="95"/>
      <c r="L98" s="95"/>
      <c r="M98" s="95"/>
      <c r="N98" s="95"/>
      <c r="O98" s="95"/>
      <c r="P98" s="99"/>
      <c r="Q98" s="100"/>
      <c r="R98" s="101"/>
    </row>
    <row r="99" spans="1:18" ht="18" thickBot="1">
      <c r="A99" s="29" t="s">
        <v>33</v>
      </c>
      <c r="B99" s="28" t="s">
        <v>82</v>
      </c>
      <c r="C99" s="28">
        <v>1</v>
      </c>
      <c r="D99" s="30">
        <v>2182.59</v>
      </c>
      <c r="E99" s="30">
        <v>2604.88</v>
      </c>
      <c r="F99" s="30">
        <v>4787.47</v>
      </c>
      <c r="G99" s="30">
        <v>489.06</v>
      </c>
      <c r="H99" s="30">
        <v>1000</v>
      </c>
      <c r="I99" s="28" t="s">
        <v>77</v>
      </c>
      <c r="J99" s="30">
        <v>6276.53</v>
      </c>
      <c r="K99" s="30">
        <v>56488.77</v>
      </c>
      <c r="L99" s="30">
        <v>3590.6</v>
      </c>
      <c r="M99" s="28">
        <v>0</v>
      </c>
      <c r="N99" s="30">
        <v>329.68</v>
      </c>
      <c r="O99" s="30">
        <v>60409.05</v>
      </c>
      <c r="P99" s="102">
        <v>60409.05</v>
      </c>
      <c r="Q99" s="103"/>
      <c r="R99" s="104"/>
    </row>
    <row r="100" spans="1:18" ht="18" thickBot="1">
      <c r="A100" s="92" t="s">
        <v>78</v>
      </c>
      <c r="B100" s="93"/>
      <c r="C100" s="28"/>
      <c r="D100" s="30">
        <v>2182.59</v>
      </c>
      <c r="E100" s="30">
        <v>2604.88</v>
      </c>
      <c r="F100" s="30">
        <v>4787.47</v>
      </c>
      <c r="G100" s="30">
        <v>489.06</v>
      </c>
      <c r="H100" s="30">
        <v>1000</v>
      </c>
      <c r="I100" s="28" t="s">
        <v>77</v>
      </c>
      <c r="J100" s="30">
        <v>6276.53</v>
      </c>
      <c r="K100" s="30">
        <v>56488.77</v>
      </c>
      <c r="L100" s="30">
        <v>3590.6</v>
      </c>
      <c r="M100" s="28">
        <v>0</v>
      </c>
      <c r="N100" s="30">
        <v>329.68</v>
      </c>
      <c r="O100" s="30">
        <v>60409.05</v>
      </c>
      <c r="P100" s="102">
        <v>60409.05</v>
      </c>
      <c r="Q100" s="103"/>
      <c r="R100" s="104"/>
    </row>
    <row r="101" spans="1:18">
      <c r="A101" s="13"/>
    </row>
    <row r="102" spans="1:18">
      <c r="A102" s="13"/>
    </row>
    <row r="103" spans="1:18">
      <c r="A103" s="16" t="s">
        <v>86</v>
      </c>
    </row>
    <row r="104" spans="1:18" ht="17" thickBot="1">
      <c r="A104" s="24"/>
    </row>
    <row r="105" spans="1:18" ht="35" thickBot="1">
      <c r="A105" s="94" t="s">
        <v>44</v>
      </c>
      <c r="B105" s="94" t="s">
        <v>45</v>
      </c>
      <c r="C105" s="23" t="s">
        <v>46</v>
      </c>
      <c r="D105" s="23" t="s">
        <v>47</v>
      </c>
      <c r="E105" s="23" t="s">
        <v>48</v>
      </c>
      <c r="F105" s="23" t="s">
        <v>49</v>
      </c>
      <c r="G105" s="23" t="s">
        <v>85</v>
      </c>
      <c r="H105" s="23" t="s">
        <v>51</v>
      </c>
      <c r="I105" s="23" t="s">
        <v>52</v>
      </c>
      <c r="J105" s="23" t="s">
        <v>53</v>
      </c>
      <c r="K105" s="23" t="s">
        <v>54</v>
      </c>
      <c r="L105" s="23" t="s">
        <v>55</v>
      </c>
      <c r="M105" s="23" t="s">
        <v>56</v>
      </c>
      <c r="N105" s="23" t="s">
        <v>57</v>
      </c>
      <c r="O105" s="23" t="s">
        <v>58</v>
      </c>
      <c r="P105" s="25" t="s">
        <v>59</v>
      </c>
      <c r="Q105" s="26"/>
      <c r="R105" s="26"/>
    </row>
    <row r="106" spans="1:18" ht="17">
      <c r="A106" s="108"/>
      <c r="B106" s="108"/>
      <c r="C106" s="94" t="s">
        <v>60</v>
      </c>
      <c r="D106" s="94" t="s">
        <v>61</v>
      </c>
      <c r="E106" s="94" t="s">
        <v>62</v>
      </c>
      <c r="F106" s="94" t="s">
        <v>63</v>
      </c>
      <c r="G106" s="94" t="s">
        <v>64</v>
      </c>
      <c r="H106" s="94" t="s">
        <v>65</v>
      </c>
      <c r="I106" s="94" t="s">
        <v>66</v>
      </c>
      <c r="J106" s="27" t="s">
        <v>67</v>
      </c>
      <c r="K106" s="94" t="s">
        <v>68</v>
      </c>
      <c r="L106" s="94" t="s">
        <v>69</v>
      </c>
      <c r="M106" s="94" t="s">
        <v>70</v>
      </c>
      <c r="N106" s="94" t="s">
        <v>71</v>
      </c>
      <c r="O106" s="94" t="s">
        <v>72</v>
      </c>
      <c r="P106" s="94" t="s">
        <v>73</v>
      </c>
      <c r="Q106" s="105"/>
      <c r="R106" s="109"/>
    </row>
    <row r="107" spans="1:18" ht="18" thickBot="1">
      <c r="A107" s="95"/>
      <c r="B107" s="95"/>
      <c r="C107" s="95"/>
      <c r="D107" s="95"/>
      <c r="E107" s="95"/>
      <c r="F107" s="95"/>
      <c r="G107" s="95"/>
      <c r="H107" s="95"/>
      <c r="I107" s="95"/>
      <c r="J107" s="28" t="s">
        <v>74</v>
      </c>
      <c r="K107" s="95"/>
      <c r="L107" s="95"/>
      <c r="M107" s="95"/>
      <c r="N107" s="95"/>
      <c r="O107" s="95"/>
      <c r="P107" s="95"/>
      <c r="Q107" s="105"/>
      <c r="R107" s="109"/>
    </row>
    <row r="108" spans="1:18" ht="18" thickBot="1">
      <c r="A108" s="29" t="s">
        <v>34</v>
      </c>
      <c r="B108" s="28" t="s">
        <v>82</v>
      </c>
      <c r="C108" s="28">
        <v>1</v>
      </c>
      <c r="D108" s="30">
        <v>2182.59</v>
      </c>
      <c r="E108" s="30">
        <v>2604.88</v>
      </c>
      <c r="F108" s="30">
        <v>4787.47</v>
      </c>
      <c r="G108" s="30">
        <v>489.06</v>
      </c>
      <c r="H108" s="30">
        <v>1000</v>
      </c>
      <c r="I108" s="28" t="s">
        <v>77</v>
      </c>
      <c r="J108" s="30">
        <v>6276.53</v>
      </c>
      <c r="K108" s="30">
        <v>56488.77</v>
      </c>
      <c r="L108" s="30">
        <v>3590.6</v>
      </c>
      <c r="M108" s="28">
        <v>0</v>
      </c>
      <c r="N108" s="30">
        <v>329.68</v>
      </c>
      <c r="O108" s="30">
        <v>60409.05</v>
      </c>
      <c r="P108" s="31">
        <v>60409.05</v>
      </c>
      <c r="Q108" s="26"/>
      <c r="R108" s="26"/>
    </row>
    <row r="109" spans="1:18" ht="18" thickBot="1">
      <c r="A109" s="106" t="s">
        <v>78</v>
      </c>
      <c r="B109" s="107"/>
      <c r="C109" s="28"/>
      <c r="D109" s="30">
        <v>2182.59</v>
      </c>
      <c r="E109" s="30">
        <v>2604.88</v>
      </c>
      <c r="F109" s="30">
        <v>4787.47</v>
      </c>
      <c r="G109" s="30">
        <v>489.06</v>
      </c>
      <c r="H109" s="30">
        <v>1000</v>
      </c>
      <c r="I109" s="28" t="s">
        <v>77</v>
      </c>
      <c r="J109" s="30">
        <v>6276.53</v>
      </c>
      <c r="K109" s="30">
        <v>56488.77</v>
      </c>
      <c r="L109" s="30">
        <v>3590.6</v>
      </c>
      <c r="M109" s="28">
        <v>0</v>
      </c>
      <c r="N109" s="30">
        <v>329.68</v>
      </c>
      <c r="O109" s="30">
        <v>60409.05</v>
      </c>
      <c r="P109" s="31">
        <v>60409.05</v>
      </c>
      <c r="Q109" s="26"/>
      <c r="R109" s="26"/>
    </row>
    <row r="110" spans="1:18" ht="35" thickBot="1">
      <c r="A110" s="94" t="s">
        <v>44</v>
      </c>
      <c r="B110" s="94" t="s">
        <v>45</v>
      </c>
      <c r="C110" s="28" t="s">
        <v>46</v>
      </c>
      <c r="D110" s="28" t="s">
        <v>47</v>
      </c>
      <c r="E110" s="28" t="s">
        <v>48</v>
      </c>
      <c r="F110" s="28" t="s">
        <v>49</v>
      </c>
      <c r="G110" s="28" t="s">
        <v>50</v>
      </c>
      <c r="H110" s="28" t="s">
        <v>51</v>
      </c>
      <c r="I110" s="28" t="s">
        <v>52</v>
      </c>
      <c r="J110" s="28" t="s">
        <v>53</v>
      </c>
      <c r="K110" s="28" t="s">
        <v>54</v>
      </c>
      <c r="L110" s="28" t="s">
        <v>55</v>
      </c>
      <c r="M110" s="28" t="s">
        <v>56</v>
      </c>
      <c r="N110" s="28" t="s">
        <v>57</v>
      </c>
      <c r="O110" s="28" t="s">
        <v>58</v>
      </c>
      <c r="P110" s="99" t="s">
        <v>59</v>
      </c>
      <c r="Q110" s="101"/>
      <c r="R110" s="26"/>
    </row>
    <row r="111" spans="1:18" ht="17">
      <c r="A111" s="108"/>
      <c r="B111" s="108"/>
      <c r="C111" s="94" t="s">
        <v>60</v>
      </c>
      <c r="D111" s="94" t="s">
        <v>61</v>
      </c>
      <c r="E111" s="94" t="s">
        <v>62</v>
      </c>
      <c r="F111" s="94" t="s">
        <v>63</v>
      </c>
      <c r="G111" s="94" t="s">
        <v>64</v>
      </c>
      <c r="H111" s="94" t="s">
        <v>65</v>
      </c>
      <c r="I111" s="94" t="s">
        <v>66</v>
      </c>
      <c r="J111" s="27" t="s">
        <v>67</v>
      </c>
      <c r="K111" s="94" t="s">
        <v>68</v>
      </c>
      <c r="L111" s="94" t="s">
        <v>69</v>
      </c>
      <c r="M111" s="94" t="s">
        <v>70</v>
      </c>
      <c r="N111" s="94" t="s">
        <v>71</v>
      </c>
      <c r="O111" s="94" t="s">
        <v>72</v>
      </c>
      <c r="P111" s="96" t="s">
        <v>73</v>
      </c>
      <c r="Q111" s="98"/>
      <c r="R111" s="105"/>
    </row>
    <row r="112" spans="1:18" ht="18" thickBot="1">
      <c r="A112" s="95"/>
      <c r="B112" s="95"/>
      <c r="C112" s="95"/>
      <c r="D112" s="95"/>
      <c r="E112" s="95"/>
      <c r="F112" s="95"/>
      <c r="G112" s="95"/>
      <c r="H112" s="95"/>
      <c r="I112" s="95"/>
      <c r="J112" s="28" t="s">
        <v>74</v>
      </c>
      <c r="K112" s="95"/>
      <c r="L112" s="95"/>
      <c r="M112" s="95"/>
      <c r="N112" s="95"/>
      <c r="O112" s="95"/>
      <c r="P112" s="99"/>
      <c r="Q112" s="101"/>
      <c r="R112" s="105"/>
    </row>
    <row r="113" spans="1:18" ht="18" thickBot="1">
      <c r="A113" s="29" t="s">
        <v>35</v>
      </c>
      <c r="B113" s="28" t="s">
        <v>82</v>
      </c>
      <c r="C113" s="28">
        <v>1</v>
      </c>
      <c r="D113" s="30">
        <v>2182.59</v>
      </c>
      <c r="E113" s="30">
        <v>2604.88</v>
      </c>
      <c r="F113" s="30">
        <v>4787.47</v>
      </c>
      <c r="G113" s="30">
        <v>489.06</v>
      </c>
      <c r="H113" s="30">
        <v>1000</v>
      </c>
      <c r="I113" s="28" t="s">
        <v>77</v>
      </c>
      <c r="J113" s="30">
        <v>6276.53</v>
      </c>
      <c r="K113" s="30">
        <v>56488.77</v>
      </c>
      <c r="L113" s="30">
        <v>3590.6</v>
      </c>
      <c r="M113" s="28">
        <v>0</v>
      </c>
      <c r="N113" s="30">
        <v>329.68</v>
      </c>
      <c r="O113" s="30">
        <v>60409.05</v>
      </c>
      <c r="P113" s="102">
        <v>60409.05</v>
      </c>
      <c r="Q113" s="104"/>
      <c r="R113" s="26"/>
    </row>
    <row r="114" spans="1:18" ht="18" thickBot="1">
      <c r="A114" s="106" t="s">
        <v>78</v>
      </c>
      <c r="B114" s="107"/>
      <c r="C114" s="28"/>
      <c r="D114" s="30">
        <v>2182.59</v>
      </c>
      <c r="E114" s="30">
        <v>2604.88</v>
      </c>
      <c r="F114" s="30">
        <v>4787.47</v>
      </c>
      <c r="G114" s="30">
        <v>489.06</v>
      </c>
      <c r="H114" s="30">
        <v>1000</v>
      </c>
      <c r="I114" s="28" t="s">
        <v>77</v>
      </c>
      <c r="J114" s="30">
        <v>6276.53</v>
      </c>
      <c r="K114" s="30">
        <v>56488.77</v>
      </c>
      <c r="L114" s="30">
        <v>3590.6</v>
      </c>
      <c r="M114" s="28">
        <v>0</v>
      </c>
      <c r="N114" s="30">
        <v>329.68</v>
      </c>
      <c r="O114" s="30">
        <v>60409.05</v>
      </c>
      <c r="P114" s="102">
        <v>60409.05</v>
      </c>
      <c r="Q114" s="104"/>
      <c r="R114" s="26"/>
    </row>
    <row r="115" spans="1:18" ht="35" thickBot="1">
      <c r="A115" s="94" t="s">
        <v>44</v>
      </c>
      <c r="B115" s="94" t="s">
        <v>45</v>
      </c>
      <c r="C115" s="28" t="s">
        <v>46</v>
      </c>
      <c r="D115" s="28" t="s">
        <v>47</v>
      </c>
      <c r="E115" s="28" t="s">
        <v>48</v>
      </c>
      <c r="F115" s="28" t="s">
        <v>49</v>
      </c>
      <c r="G115" s="28" t="s">
        <v>85</v>
      </c>
      <c r="H115" s="28" t="s">
        <v>51</v>
      </c>
      <c r="I115" s="28" t="s">
        <v>52</v>
      </c>
      <c r="J115" s="28" t="s">
        <v>53</v>
      </c>
      <c r="K115" s="28" t="s">
        <v>54</v>
      </c>
      <c r="L115" s="28" t="s">
        <v>55</v>
      </c>
      <c r="M115" s="28" t="s">
        <v>56</v>
      </c>
      <c r="N115" s="28" t="s">
        <v>57</v>
      </c>
      <c r="O115" s="28" t="s">
        <v>58</v>
      </c>
      <c r="P115" s="99" t="s">
        <v>59</v>
      </c>
      <c r="Q115" s="100"/>
      <c r="R115" s="101"/>
    </row>
    <row r="116" spans="1:18" ht="17">
      <c r="A116" s="108"/>
      <c r="B116" s="108"/>
      <c r="C116" s="94" t="s">
        <v>60</v>
      </c>
      <c r="D116" s="94" t="s">
        <v>61</v>
      </c>
      <c r="E116" s="94" t="s">
        <v>62</v>
      </c>
      <c r="F116" s="94" t="s">
        <v>63</v>
      </c>
      <c r="G116" s="94" t="s">
        <v>64</v>
      </c>
      <c r="H116" s="94" t="s">
        <v>65</v>
      </c>
      <c r="I116" s="94" t="s">
        <v>66</v>
      </c>
      <c r="J116" s="27" t="s">
        <v>67</v>
      </c>
      <c r="K116" s="94" t="s">
        <v>68</v>
      </c>
      <c r="L116" s="94" t="s">
        <v>69</v>
      </c>
      <c r="M116" s="94" t="s">
        <v>70</v>
      </c>
      <c r="N116" s="94" t="s">
        <v>71</v>
      </c>
      <c r="O116" s="94" t="s">
        <v>72</v>
      </c>
      <c r="P116" s="96" t="s">
        <v>73</v>
      </c>
      <c r="Q116" s="97"/>
      <c r="R116" s="98"/>
    </row>
    <row r="117" spans="1:18" ht="18" thickBot="1">
      <c r="A117" s="95"/>
      <c r="B117" s="95"/>
      <c r="C117" s="95"/>
      <c r="D117" s="95"/>
      <c r="E117" s="95"/>
      <c r="F117" s="95"/>
      <c r="G117" s="95"/>
      <c r="H117" s="95"/>
      <c r="I117" s="95"/>
      <c r="J117" s="28" t="s">
        <v>74</v>
      </c>
      <c r="K117" s="95"/>
      <c r="L117" s="95"/>
      <c r="M117" s="95"/>
      <c r="N117" s="95"/>
      <c r="O117" s="95"/>
      <c r="P117" s="99"/>
      <c r="Q117" s="100"/>
      <c r="R117" s="101"/>
    </row>
    <row r="118" spans="1:18" ht="18" thickBot="1">
      <c r="A118" s="29" t="s">
        <v>36</v>
      </c>
      <c r="B118" s="28" t="s">
        <v>82</v>
      </c>
      <c r="C118" s="28">
        <v>2</v>
      </c>
      <c r="D118" s="30">
        <v>2182.59</v>
      </c>
      <c r="E118" s="30">
        <v>2604.88</v>
      </c>
      <c r="F118" s="30">
        <v>4787.47</v>
      </c>
      <c r="G118" s="30">
        <v>489.06</v>
      </c>
      <c r="H118" s="30">
        <v>1000</v>
      </c>
      <c r="I118" s="28" t="s">
        <v>77</v>
      </c>
      <c r="J118" s="30">
        <v>6276.53</v>
      </c>
      <c r="K118" s="30">
        <v>56488.77</v>
      </c>
      <c r="L118" s="30">
        <v>3590.6</v>
      </c>
      <c r="M118" s="28">
        <v>0</v>
      </c>
      <c r="N118" s="30">
        <v>329.68</v>
      </c>
      <c r="O118" s="30">
        <v>60409.05</v>
      </c>
      <c r="P118" s="102">
        <v>120818.1</v>
      </c>
      <c r="Q118" s="103"/>
      <c r="R118" s="104"/>
    </row>
    <row r="119" spans="1:18" ht="18" thickBot="1">
      <c r="A119" s="92" t="s">
        <v>78</v>
      </c>
      <c r="B119" s="93"/>
      <c r="C119" s="28"/>
      <c r="D119" s="30">
        <v>2182.59</v>
      </c>
      <c r="E119" s="30">
        <v>2604.88</v>
      </c>
      <c r="F119" s="30">
        <v>4787.47</v>
      </c>
      <c r="G119" s="30">
        <v>489.06</v>
      </c>
      <c r="H119" s="30">
        <v>1000</v>
      </c>
      <c r="I119" s="28" t="s">
        <v>77</v>
      </c>
      <c r="J119" s="30">
        <v>6276.53</v>
      </c>
      <c r="K119" s="30">
        <v>56488.77</v>
      </c>
      <c r="L119" s="30">
        <v>3590.6</v>
      </c>
      <c r="M119" s="28">
        <v>0</v>
      </c>
      <c r="N119" s="30">
        <v>329.68</v>
      </c>
      <c r="O119" s="30">
        <v>60409.05</v>
      </c>
      <c r="P119" s="102">
        <v>120818.1</v>
      </c>
      <c r="Q119" s="103"/>
      <c r="R119" s="104"/>
    </row>
    <row r="120" spans="1:18">
      <c r="A120" s="33"/>
    </row>
    <row r="121" spans="1:18">
      <c r="A121" s="33"/>
    </row>
    <row r="122" spans="1:18">
      <c r="A122" s="16" t="s">
        <v>86</v>
      </c>
    </row>
    <row r="123" spans="1:18" ht="17" thickBot="1">
      <c r="A123" s="16"/>
    </row>
    <row r="124" spans="1:18" ht="35" thickBot="1">
      <c r="A124" s="94" t="s">
        <v>44</v>
      </c>
      <c r="B124" s="94" t="s">
        <v>45</v>
      </c>
      <c r="C124" s="23" t="s">
        <v>46</v>
      </c>
      <c r="D124" s="23" t="s">
        <v>47</v>
      </c>
      <c r="E124" s="23" t="s">
        <v>48</v>
      </c>
      <c r="F124" s="23" t="s">
        <v>49</v>
      </c>
      <c r="G124" s="23" t="s">
        <v>50</v>
      </c>
      <c r="H124" s="23" t="s">
        <v>51</v>
      </c>
      <c r="I124" s="23" t="s">
        <v>52</v>
      </c>
      <c r="J124" s="23" t="s">
        <v>53</v>
      </c>
      <c r="K124" s="23" t="s">
        <v>54</v>
      </c>
      <c r="L124" s="23" t="s">
        <v>55</v>
      </c>
      <c r="M124" s="23" t="s">
        <v>56</v>
      </c>
      <c r="N124" s="23" t="s">
        <v>57</v>
      </c>
      <c r="O124" s="23" t="s">
        <v>58</v>
      </c>
      <c r="P124" s="25" t="s">
        <v>59</v>
      </c>
      <c r="Q124" s="26"/>
      <c r="R124" s="26"/>
    </row>
    <row r="125" spans="1:18" ht="17">
      <c r="A125" s="108"/>
      <c r="B125" s="108"/>
      <c r="C125" s="94" t="s">
        <v>60</v>
      </c>
      <c r="D125" s="94" t="s">
        <v>61</v>
      </c>
      <c r="E125" s="94" t="s">
        <v>62</v>
      </c>
      <c r="F125" s="94" t="s">
        <v>63</v>
      </c>
      <c r="G125" s="94" t="s">
        <v>64</v>
      </c>
      <c r="H125" s="94" t="s">
        <v>65</v>
      </c>
      <c r="I125" s="94" t="s">
        <v>66</v>
      </c>
      <c r="J125" s="27" t="s">
        <v>67</v>
      </c>
      <c r="K125" s="94" t="s">
        <v>68</v>
      </c>
      <c r="L125" s="94" t="s">
        <v>69</v>
      </c>
      <c r="M125" s="94" t="s">
        <v>70</v>
      </c>
      <c r="N125" s="94" t="s">
        <v>71</v>
      </c>
      <c r="O125" s="94" t="s">
        <v>72</v>
      </c>
      <c r="P125" s="94" t="s">
        <v>73</v>
      </c>
      <c r="Q125" s="105"/>
      <c r="R125" s="109"/>
    </row>
    <row r="126" spans="1:18" ht="18" thickBot="1">
      <c r="A126" s="95"/>
      <c r="B126" s="95"/>
      <c r="C126" s="95"/>
      <c r="D126" s="95"/>
      <c r="E126" s="95"/>
      <c r="F126" s="95"/>
      <c r="G126" s="95"/>
      <c r="H126" s="95"/>
      <c r="I126" s="95"/>
      <c r="J126" s="28" t="s">
        <v>74</v>
      </c>
      <c r="K126" s="95"/>
      <c r="L126" s="95"/>
      <c r="M126" s="95"/>
      <c r="N126" s="95"/>
      <c r="O126" s="95"/>
      <c r="P126" s="95"/>
      <c r="Q126" s="105"/>
      <c r="R126" s="109"/>
    </row>
    <row r="127" spans="1:18" ht="18" thickBot="1">
      <c r="A127" s="29" t="s">
        <v>37</v>
      </c>
      <c r="B127" s="28" t="s">
        <v>82</v>
      </c>
      <c r="C127" s="28">
        <v>1</v>
      </c>
      <c r="D127" s="30">
        <v>2182.59</v>
      </c>
      <c r="E127" s="30">
        <v>2604.88</v>
      </c>
      <c r="F127" s="30">
        <v>4787.47</v>
      </c>
      <c r="G127" s="30">
        <v>489.06</v>
      </c>
      <c r="H127" s="30">
        <v>1000</v>
      </c>
      <c r="I127" s="28" t="s">
        <v>77</v>
      </c>
      <c r="J127" s="30">
        <v>6276.53</v>
      </c>
      <c r="K127" s="30">
        <v>56488.77</v>
      </c>
      <c r="L127" s="30">
        <v>3590.6</v>
      </c>
      <c r="M127" s="28">
        <v>0</v>
      </c>
      <c r="N127" s="30">
        <v>329.68</v>
      </c>
      <c r="O127" s="30">
        <v>60409.05</v>
      </c>
      <c r="P127" s="31">
        <v>60409.05</v>
      </c>
      <c r="Q127" s="26"/>
      <c r="R127" s="26"/>
    </row>
    <row r="128" spans="1:18" ht="18" thickBot="1">
      <c r="A128" s="106" t="s">
        <v>78</v>
      </c>
      <c r="B128" s="107"/>
      <c r="C128" s="28"/>
      <c r="D128" s="30">
        <v>2182.59</v>
      </c>
      <c r="E128" s="30">
        <v>2604.88</v>
      </c>
      <c r="F128" s="30">
        <v>4787.47</v>
      </c>
      <c r="G128" s="30">
        <v>489.06</v>
      </c>
      <c r="H128" s="30">
        <v>1000</v>
      </c>
      <c r="I128" s="28" t="s">
        <v>77</v>
      </c>
      <c r="J128" s="30">
        <v>6276.53</v>
      </c>
      <c r="K128" s="30">
        <v>56488.77</v>
      </c>
      <c r="L128" s="30">
        <v>3590.6</v>
      </c>
      <c r="M128" s="28">
        <v>0</v>
      </c>
      <c r="N128" s="30">
        <v>329.68</v>
      </c>
      <c r="O128" s="30">
        <v>60409.05</v>
      </c>
      <c r="P128" s="31">
        <v>60409.05</v>
      </c>
      <c r="Q128" s="26"/>
      <c r="R128" s="26"/>
    </row>
    <row r="129" spans="1:18" ht="35" thickBot="1">
      <c r="A129" s="94" t="s">
        <v>44</v>
      </c>
      <c r="B129" s="94" t="s">
        <v>45</v>
      </c>
      <c r="C129" s="28" t="s">
        <v>46</v>
      </c>
      <c r="D129" s="28" t="s">
        <v>47</v>
      </c>
      <c r="E129" s="28" t="s">
        <v>48</v>
      </c>
      <c r="F129" s="28" t="s">
        <v>49</v>
      </c>
      <c r="G129" s="28" t="s">
        <v>50</v>
      </c>
      <c r="H129" s="28" t="s">
        <v>51</v>
      </c>
      <c r="I129" s="28" t="s">
        <v>52</v>
      </c>
      <c r="J129" s="28" t="s">
        <v>53</v>
      </c>
      <c r="K129" s="28" t="s">
        <v>54</v>
      </c>
      <c r="L129" s="28" t="s">
        <v>55</v>
      </c>
      <c r="M129" s="28" t="s">
        <v>56</v>
      </c>
      <c r="N129" s="28" t="s">
        <v>57</v>
      </c>
      <c r="O129" s="28" t="s">
        <v>58</v>
      </c>
      <c r="P129" s="99" t="s">
        <v>59</v>
      </c>
      <c r="Q129" s="101"/>
      <c r="R129" s="26"/>
    </row>
    <row r="130" spans="1:18" ht="17">
      <c r="A130" s="108"/>
      <c r="B130" s="108"/>
      <c r="C130" s="94" t="s">
        <v>60</v>
      </c>
      <c r="D130" s="94" t="s">
        <v>61</v>
      </c>
      <c r="E130" s="94" t="s">
        <v>62</v>
      </c>
      <c r="F130" s="94" t="s">
        <v>63</v>
      </c>
      <c r="G130" s="94" t="s">
        <v>64</v>
      </c>
      <c r="H130" s="94" t="s">
        <v>65</v>
      </c>
      <c r="I130" s="94" t="s">
        <v>66</v>
      </c>
      <c r="J130" s="27" t="s">
        <v>67</v>
      </c>
      <c r="K130" s="94" t="s">
        <v>68</v>
      </c>
      <c r="L130" s="94" t="s">
        <v>69</v>
      </c>
      <c r="M130" s="94" t="s">
        <v>70</v>
      </c>
      <c r="N130" s="94" t="s">
        <v>71</v>
      </c>
      <c r="O130" s="94" t="s">
        <v>72</v>
      </c>
      <c r="P130" s="96" t="s">
        <v>73</v>
      </c>
      <c r="Q130" s="98"/>
      <c r="R130" s="105"/>
    </row>
    <row r="131" spans="1:18" ht="18" thickBot="1">
      <c r="A131" s="95"/>
      <c r="B131" s="95"/>
      <c r="C131" s="95"/>
      <c r="D131" s="95"/>
      <c r="E131" s="95"/>
      <c r="F131" s="95"/>
      <c r="G131" s="95"/>
      <c r="H131" s="95"/>
      <c r="I131" s="95"/>
      <c r="J131" s="28" t="s">
        <v>74</v>
      </c>
      <c r="K131" s="95"/>
      <c r="L131" s="95"/>
      <c r="M131" s="95"/>
      <c r="N131" s="95"/>
      <c r="O131" s="95"/>
      <c r="P131" s="99"/>
      <c r="Q131" s="101"/>
      <c r="R131" s="105"/>
    </row>
    <row r="132" spans="1:18" ht="18" thickBot="1">
      <c r="A132" s="29" t="s">
        <v>38</v>
      </c>
      <c r="B132" s="28" t="s">
        <v>82</v>
      </c>
      <c r="C132" s="28">
        <v>1</v>
      </c>
      <c r="D132" s="30">
        <v>2182.59</v>
      </c>
      <c r="E132" s="30">
        <v>2604.88</v>
      </c>
      <c r="F132" s="30">
        <v>4787.47</v>
      </c>
      <c r="G132" s="30">
        <v>489.06</v>
      </c>
      <c r="H132" s="30">
        <v>1000</v>
      </c>
      <c r="I132" s="28" t="s">
        <v>77</v>
      </c>
      <c r="J132" s="30">
        <v>6276.53</v>
      </c>
      <c r="K132" s="30">
        <v>56488.77</v>
      </c>
      <c r="L132" s="30">
        <v>3590.6</v>
      </c>
      <c r="M132" s="28">
        <v>0</v>
      </c>
      <c r="N132" s="30">
        <v>329.68</v>
      </c>
      <c r="O132" s="30">
        <v>60409.05</v>
      </c>
      <c r="P132" s="102">
        <v>60409.05</v>
      </c>
      <c r="Q132" s="104"/>
      <c r="R132" s="26"/>
    </row>
    <row r="133" spans="1:18" ht="18" thickBot="1">
      <c r="A133" s="106" t="s">
        <v>78</v>
      </c>
      <c r="B133" s="107"/>
      <c r="C133" s="28"/>
      <c r="D133" s="30">
        <v>2182.59</v>
      </c>
      <c r="E133" s="30">
        <v>2604.88</v>
      </c>
      <c r="F133" s="30">
        <v>4787.47</v>
      </c>
      <c r="G133" s="30">
        <v>489.06</v>
      </c>
      <c r="H133" s="30">
        <v>1000</v>
      </c>
      <c r="I133" s="28" t="s">
        <v>77</v>
      </c>
      <c r="J133" s="30">
        <v>6276.53</v>
      </c>
      <c r="K133" s="30">
        <v>56488.77</v>
      </c>
      <c r="L133" s="30">
        <v>3590.6</v>
      </c>
      <c r="M133" s="28">
        <v>0</v>
      </c>
      <c r="N133" s="30">
        <v>329.68</v>
      </c>
      <c r="O133" s="30">
        <v>60409.05</v>
      </c>
      <c r="P133" s="102">
        <v>60409.05</v>
      </c>
      <c r="Q133" s="104"/>
      <c r="R133" s="26"/>
    </row>
    <row r="134" spans="1:18" ht="35" thickBot="1">
      <c r="A134" s="94" t="s">
        <v>44</v>
      </c>
      <c r="B134" s="94" t="s">
        <v>45</v>
      </c>
      <c r="C134" s="28" t="s">
        <v>46</v>
      </c>
      <c r="D134" s="28" t="s">
        <v>47</v>
      </c>
      <c r="E134" s="28" t="s">
        <v>48</v>
      </c>
      <c r="F134" s="28" t="s">
        <v>49</v>
      </c>
      <c r="G134" s="28" t="s">
        <v>50</v>
      </c>
      <c r="H134" s="28" t="s">
        <v>51</v>
      </c>
      <c r="I134" s="28" t="s">
        <v>52</v>
      </c>
      <c r="J134" s="28" t="s">
        <v>53</v>
      </c>
      <c r="K134" s="28" t="s">
        <v>54</v>
      </c>
      <c r="L134" s="28" t="s">
        <v>55</v>
      </c>
      <c r="M134" s="28" t="s">
        <v>56</v>
      </c>
      <c r="N134" s="28" t="s">
        <v>57</v>
      </c>
      <c r="O134" s="28" t="s">
        <v>58</v>
      </c>
      <c r="P134" s="99" t="s">
        <v>59</v>
      </c>
      <c r="Q134" s="100"/>
      <c r="R134" s="101"/>
    </row>
    <row r="135" spans="1:18" ht="17">
      <c r="A135" s="108"/>
      <c r="B135" s="108"/>
      <c r="C135" s="94" t="s">
        <v>60</v>
      </c>
      <c r="D135" s="94" t="s">
        <v>61</v>
      </c>
      <c r="E135" s="94" t="s">
        <v>62</v>
      </c>
      <c r="F135" s="94" t="s">
        <v>63</v>
      </c>
      <c r="G135" s="94" t="s">
        <v>64</v>
      </c>
      <c r="H135" s="94" t="s">
        <v>65</v>
      </c>
      <c r="I135" s="94" t="s">
        <v>66</v>
      </c>
      <c r="J135" s="27" t="s">
        <v>67</v>
      </c>
      <c r="K135" s="94" t="s">
        <v>68</v>
      </c>
      <c r="L135" s="94" t="s">
        <v>69</v>
      </c>
      <c r="M135" s="94" t="s">
        <v>70</v>
      </c>
      <c r="N135" s="94" t="s">
        <v>71</v>
      </c>
      <c r="O135" s="94" t="s">
        <v>72</v>
      </c>
      <c r="P135" s="96" t="s">
        <v>73</v>
      </c>
      <c r="Q135" s="97"/>
      <c r="R135" s="98"/>
    </row>
    <row r="136" spans="1:18" ht="18" thickBot="1">
      <c r="A136" s="95"/>
      <c r="B136" s="95"/>
      <c r="C136" s="95"/>
      <c r="D136" s="95"/>
      <c r="E136" s="95"/>
      <c r="F136" s="95"/>
      <c r="G136" s="95"/>
      <c r="H136" s="95"/>
      <c r="I136" s="95"/>
      <c r="J136" s="28" t="s">
        <v>74</v>
      </c>
      <c r="K136" s="95"/>
      <c r="L136" s="95"/>
      <c r="M136" s="95"/>
      <c r="N136" s="95"/>
      <c r="O136" s="95"/>
      <c r="P136" s="99"/>
      <c r="Q136" s="100"/>
      <c r="R136" s="101"/>
    </row>
    <row r="137" spans="1:18" ht="18" thickBot="1">
      <c r="A137" s="29" t="s">
        <v>39</v>
      </c>
      <c r="B137" s="28" t="s">
        <v>82</v>
      </c>
      <c r="C137" s="28">
        <v>1</v>
      </c>
      <c r="D137" s="30">
        <v>2182.59</v>
      </c>
      <c r="E137" s="30">
        <v>2604.88</v>
      </c>
      <c r="F137" s="30">
        <v>4787.47</v>
      </c>
      <c r="G137" s="30">
        <v>489.06</v>
      </c>
      <c r="H137" s="30">
        <v>1000</v>
      </c>
      <c r="I137" s="28" t="s">
        <v>77</v>
      </c>
      <c r="J137" s="30">
        <v>6276.53</v>
      </c>
      <c r="K137" s="30">
        <v>56488.77</v>
      </c>
      <c r="L137" s="30">
        <v>3590.6</v>
      </c>
      <c r="M137" s="28">
        <v>0</v>
      </c>
      <c r="N137" s="30">
        <v>329.68</v>
      </c>
      <c r="O137" s="30">
        <v>60409.05</v>
      </c>
      <c r="P137" s="102">
        <v>60409.05</v>
      </c>
      <c r="Q137" s="103"/>
      <c r="R137" s="104"/>
    </row>
    <row r="138" spans="1:18" ht="18" thickBot="1">
      <c r="A138" s="92" t="s">
        <v>78</v>
      </c>
      <c r="B138" s="93"/>
      <c r="C138" s="28"/>
      <c r="D138" s="30">
        <v>2182.59</v>
      </c>
      <c r="E138" s="30">
        <v>2604.88</v>
      </c>
      <c r="F138" s="30">
        <v>4787.47</v>
      </c>
      <c r="G138" s="30">
        <v>489.06</v>
      </c>
      <c r="H138" s="30">
        <v>1000</v>
      </c>
      <c r="I138" s="28" t="s">
        <v>77</v>
      </c>
      <c r="J138" s="30">
        <v>6276.53</v>
      </c>
      <c r="K138" s="30">
        <v>56488.77</v>
      </c>
      <c r="L138" s="30">
        <v>3590.6</v>
      </c>
      <c r="M138" s="28">
        <v>0</v>
      </c>
      <c r="N138" s="30">
        <v>329.68</v>
      </c>
      <c r="O138" s="30">
        <v>60409.05</v>
      </c>
      <c r="P138" s="102">
        <v>60409.05</v>
      </c>
      <c r="Q138" s="103"/>
      <c r="R138" s="104"/>
    </row>
    <row r="139" spans="1:18">
      <c r="A139" s="13"/>
    </row>
    <row r="140" spans="1:18">
      <c r="A140" s="13"/>
    </row>
    <row r="141" spans="1:18">
      <c r="A141" s="16" t="s">
        <v>86</v>
      </c>
    </row>
    <row r="142" spans="1:18" ht="17" thickBot="1">
      <c r="A142" s="33"/>
    </row>
    <row r="143" spans="1:18" ht="35" thickBot="1">
      <c r="A143" s="94" t="s">
        <v>44</v>
      </c>
      <c r="B143" s="94" t="s">
        <v>45</v>
      </c>
      <c r="C143" s="23" t="s">
        <v>46</v>
      </c>
      <c r="D143" s="23" t="s">
        <v>47</v>
      </c>
      <c r="E143" s="23" t="s">
        <v>48</v>
      </c>
      <c r="F143" s="23" t="s">
        <v>49</v>
      </c>
      <c r="G143" s="23" t="s">
        <v>50</v>
      </c>
      <c r="H143" s="23" t="s">
        <v>51</v>
      </c>
      <c r="I143" s="23" t="s">
        <v>52</v>
      </c>
      <c r="J143" s="23" t="s">
        <v>53</v>
      </c>
      <c r="K143" s="23" t="s">
        <v>54</v>
      </c>
      <c r="L143" s="23" t="s">
        <v>55</v>
      </c>
      <c r="M143" s="23" t="s">
        <v>56</v>
      </c>
      <c r="N143" s="23" t="s">
        <v>57</v>
      </c>
      <c r="O143" s="23" t="s">
        <v>58</v>
      </c>
      <c r="P143" s="25" t="s">
        <v>59</v>
      </c>
      <c r="Q143" s="26"/>
      <c r="R143" s="26"/>
    </row>
    <row r="144" spans="1:18" ht="17">
      <c r="A144" s="108"/>
      <c r="B144" s="108"/>
      <c r="C144" s="94" t="s">
        <v>60</v>
      </c>
      <c r="D144" s="94" t="s">
        <v>61</v>
      </c>
      <c r="E144" s="94" t="s">
        <v>62</v>
      </c>
      <c r="F144" s="94" t="s">
        <v>63</v>
      </c>
      <c r="G144" s="94" t="s">
        <v>64</v>
      </c>
      <c r="H144" s="94" t="s">
        <v>65</v>
      </c>
      <c r="I144" s="94" t="s">
        <v>66</v>
      </c>
      <c r="J144" s="27" t="s">
        <v>67</v>
      </c>
      <c r="K144" s="94" t="s">
        <v>68</v>
      </c>
      <c r="L144" s="94" t="s">
        <v>69</v>
      </c>
      <c r="M144" s="94" t="s">
        <v>70</v>
      </c>
      <c r="N144" s="94" t="s">
        <v>71</v>
      </c>
      <c r="O144" s="94" t="s">
        <v>72</v>
      </c>
      <c r="P144" s="94" t="s">
        <v>73</v>
      </c>
      <c r="Q144" s="105"/>
      <c r="R144" s="109"/>
    </row>
    <row r="145" spans="1:18" ht="18" thickBot="1">
      <c r="A145" s="95"/>
      <c r="B145" s="95"/>
      <c r="C145" s="95"/>
      <c r="D145" s="95"/>
      <c r="E145" s="95"/>
      <c r="F145" s="95"/>
      <c r="G145" s="95"/>
      <c r="H145" s="95"/>
      <c r="I145" s="95"/>
      <c r="J145" s="28" t="s">
        <v>74</v>
      </c>
      <c r="K145" s="95"/>
      <c r="L145" s="95"/>
      <c r="M145" s="95"/>
      <c r="N145" s="95"/>
      <c r="O145" s="95"/>
      <c r="P145" s="95"/>
      <c r="Q145" s="105"/>
      <c r="R145" s="109"/>
    </row>
    <row r="146" spans="1:18" ht="18" thickBot="1">
      <c r="A146" s="3" t="s">
        <v>15</v>
      </c>
      <c r="B146" s="28" t="s">
        <v>76</v>
      </c>
      <c r="C146" s="28">
        <v>1</v>
      </c>
      <c r="D146" s="30">
        <v>2769.57</v>
      </c>
      <c r="E146" s="30">
        <v>2844</v>
      </c>
      <c r="F146" s="30">
        <v>5613.57</v>
      </c>
      <c r="G146" s="30">
        <v>604.71</v>
      </c>
      <c r="H146" s="30">
        <v>1000</v>
      </c>
      <c r="I146" s="28" t="s">
        <v>77</v>
      </c>
      <c r="J146" s="30">
        <v>7218.28</v>
      </c>
      <c r="K146" s="30">
        <v>64964.52</v>
      </c>
      <c r="L146" s="30">
        <v>4210.18</v>
      </c>
      <c r="M146" s="28">
        <v>0</v>
      </c>
      <c r="N146" s="30">
        <v>408.24</v>
      </c>
      <c r="O146" s="30">
        <v>69582.94</v>
      </c>
      <c r="P146" s="31">
        <v>69582.94</v>
      </c>
      <c r="Q146" s="26"/>
      <c r="R146" s="26"/>
    </row>
    <row r="147" spans="1:18" ht="18" thickBot="1">
      <c r="A147" s="106" t="s">
        <v>78</v>
      </c>
      <c r="B147" s="107"/>
      <c r="C147" s="28"/>
      <c r="D147" s="30">
        <v>2769.57</v>
      </c>
      <c r="E147" s="30">
        <v>2844</v>
      </c>
      <c r="F147" s="30">
        <v>5613.57</v>
      </c>
      <c r="G147" s="30">
        <v>604.71</v>
      </c>
      <c r="H147" s="30">
        <v>1000</v>
      </c>
      <c r="I147" s="28" t="s">
        <v>77</v>
      </c>
      <c r="J147" s="30">
        <v>7218.28</v>
      </c>
      <c r="K147" s="30">
        <v>64964.52</v>
      </c>
      <c r="L147" s="30">
        <v>4210.18</v>
      </c>
      <c r="M147" s="28">
        <v>0</v>
      </c>
      <c r="N147" s="30">
        <v>408.24</v>
      </c>
      <c r="O147" s="30">
        <v>69582.94</v>
      </c>
      <c r="P147" s="31">
        <v>69582.94</v>
      </c>
      <c r="Q147" s="26"/>
      <c r="R147" s="26"/>
    </row>
    <row r="148" spans="1:18" ht="35" thickBot="1">
      <c r="A148" s="94" t="s">
        <v>44</v>
      </c>
      <c r="B148" s="94" t="s">
        <v>45</v>
      </c>
      <c r="C148" s="28" t="s">
        <v>46</v>
      </c>
      <c r="D148" s="28" t="s">
        <v>47</v>
      </c>
      <c r="E148" s="28" t="s">
        <v>48</v>
      </c>
      <c r="F148" s="28" t="s">
        <v>49</v>
      </c>
      <c r="G148" s="28" t="s">
        <v>50</v>
      </c>
      <c r="H148" s="28" t="s">
        <v>51</v>
      </c>
      <c r="I148" s="28" t="s">
        <v>52</v>
      </c>
      <c r="J148" s="28" t="s">
        <v>53</v>
      </c>
      <c r="K148" s="28" t="s">
        <v>54</v>
      </c>
      <c r="L148" s="28" t="s">
        <v>55</v>
      </c>
      <c r="M148" s="28" t="s">
        <v>56</v>
      </c>
      <c r="N148" s="28" t="s">
        <v>57</v>
      </c>
      <c r="O148" s="28" t="s">
        <v>58</v>
      </c>
      <c r="P148" s="99" t="s">
        <v>59</v>
      </c>
      <c r="Q148" s="101"/>
      <c r="R148" s="26"/>
    </row>
    <row r="149" spans="1:18" ht="17">
      <c r="A149" s="108"/>
      <c r="B149" s="108"/>
      <c r="C149" s="94" t="s">
        <v>60</v>
      </c>
      <c r="D149" s="94" t="s">
        <v>61</v>
      </c>
      <c r="E149" s="94" t="s">
        <v>62</v>
      </c>
      <c r="F149" s="94" t="s">
        <v>63</v>
      </c>
      <c r="G149" s="94" t="s">
        <v>64</v>
      </c>
      <c r="H149" s="94" t="s">
        <v>65</v>
      </c>
      <c r="I149" s="94" t="s">
        <v>66</v>
      </c>
      <c r="J149" s="27" t="s">
        <v>67</v>
      </c>
      <c r="K149" s="94" t="s">
        <v>68</v>
      </c>
      <c r="L149" s="94" t="s">
        <v>69</v>
      </c>
      <c r="M149" s="94" t="s">
        <v>70</v>
      </c>
      <c r="N149" s="94" t="s">
        <v>71</v>
      </c>
      <c r="O149" s="94" t="s">
        <v>72</v>
      </c>
      <c r="P149" s="96" t="s">
        <v>73</v>
      </c>
      <c r="Q149" s="98"/>
      <c r="R149" s="105"/>
    </row>
    <row r="150" spans="1:18" ht="18" thickBot="1">
      <c r="A150" s="95"/>
      <c r="B150" s="95"/>
      <c r="C150" s="95"/>
      <c r="D150" s="95"/>
      <c r="E150" s="95"/>
      <c r="F150" s="95"/>
      <c r="G150" s="95"/>
      <c r="H150" s="95"/>
      <c r="I150" s="95"/>
      <c r="J150" s="28" t="s">
        <v>74</v>
      </c>
      <c r="K150" s="95"/>
      <c r="L150" s="95"/>
      <c r="M150" s="95"/>
      <c r="N150" s="95"/>
      <c r="O150" s="95"/>
      <c r="P150" s="99"/>
      <c r="Q150" s="101"/>
      <c r="R150" s="105"/>
    </row>
    <row r="151" spans="1:18" ht="18" thickBot="1">
      <c r="A151" s="29" t="s">
        <v>16</v>
      </c>
      <c r="B151" s="28" t="s">
        <v>76</v>
      </c>
      <c r="C151" s="28">
        <v>1</v>
      </c>
      <c r="D151" s="30">
        <v>2769.57</v>
      </c>
      <c r="E151" s="30">
        <v>2844</v>
      </c>
      <c r="F151" s="30">
        <v>5613.57</v>
      </c>
      <c r="G151" s="30">
        <v>604.71</v>
      </c>
      <c r="H151" s="30">
        <v>1000</v>
      </c>
      <c r="I151" s="28" t="s">
        <v>77</v>
      </c>
      <c r="J151" s="30">
        <v>7218.28</v>
      </c>
      <c r="K151" s="30">
        <v>64964.52</v>
      </c>
      <c r="L151" s="30">
        <v>4210.18</v>
      </c>
      <c r="M151" s="28">
        <v>0</v>
      </c>
      <c r="N151" s="30">
        <v>408.24</v>
      </c>
      <c r="O151" s="30">
        <v>69582.94</v>
      </c>
      <c r="P151" s="102">
        <v>69582.94</v>
      </c>
      <c r="Q151" s="104"/>
      <c r="R151" s="26"/>
    </row>
    <row r="152" spans="1:18" ht="18" thickBot="1">
      <c r="A152" s="106" t="s">
        <v>78</v>
      </c>
      <c r="B152" s="107"/>
      <c r="C152" s="28"/>
      <c r="D152" s="30">
        <v>2769.57</v>
      </c>
      <c r="E152" s="30">
        <v>2844</v>
      </c>
      <c r="F152" s="30">
        <v>5613.57</v>
      </c>
      <c r="G152" s="30">
        <v>604.71</v>
      </c>
      <c r="H152" s="30">
        <v>1000</v>
      </c>
      <c r="I152" s="28" t="s">
        <v>77</v>
      </c>
      <c r="J152" s="30">
        <v>7218.28</v>
      </c>
      <c r="K152" s="30">
        <v>64964.52</v>
      </c>
      <c r="L152" s="30">
        <v>4210.18</v>
      </c>
      <c r="M152" s="28">
        <v>0</v>
      </c>
      <c r="N152" s="30">
        <v>408.24</v>
      </c>
      <c r="O152" s="30">
        <v>69582.94</v>
      </c>
      <c r="P152" s="102">
        <v>69582.94</v>
      </c>
      <c r="Q152" s="104"/>
      <c r="R152" s="26"/>
    </row>
    <row r="153" spans="1:18" ht="35" thickBot="1">
      <c r="A153" s="94" t="s">
        <v>44</v>
      </c>
      <c r="B153" s="94" t="s">
        <v>45</v>
      </c>
      <c r="C153" s="28" t="s">
        <v>46</v>
      </c>
      <c r="D153" s="28" t="s">
        <v>47</v>
      </c>
      <c r="E153" s="28" t="s">
        <v>48</v>
      </c>
      <c r="F153" s="28" t="s">
        <v>49</v>
      </c>
      <c r="G153" s="28" t="s">
        <v>50</v>
      </c>
      <c r="H153" s="28" t="s">
        <v>51</v>
      </c>
      <c r="I153" s="28" t="s">
        <v>52</v>
      </c>
      <c r="J153" s="28" t="s">
        <v>53</v>
      </c>
      <c r="K153" s="28" t="s">
        <v>54</v>
      </c>
      <c r="L153" s="28" t="s">
        <v>55</v>
      </c>
      <c r="M153" s="28" t="s">
        <v>56</v>
      </c>
      <c r="N153" s="28" t="s">
        <v>57</v>
      </c>
      <c r="O153" s="28" t="s">
        <v>58</v>
      </c>
      <c r="P153" s="99" t="s">
        <v>59</v>
      </c>
      <c r="Q153" s="100"/>
      <c r="R153" s="101"/>
    </row>
    <row r="154" spans="1:18" ht="17">
      <c r="A154" s="108"/>
      <c r="B154" s="108"/>
      <c r="C154" s="94" t="s">
        <v>60</v>
      </c>
      <c r="D154" s="94" t="s">
        <v>61</v>
      </c>
      <c r="E154" s="94" t="s">
        <v>62</v>
      </c>
      <c r="F154" s="94" t="s">
        <v>63</v>
      </c>
      <c r="G154" s="94" t="s">
        <v>64</v>
      </c>
      <c r="H154" s="94" t="s">
        <v>65</v>
      </c>
      <c r="I154" s="94" t="s">
        <v>66</v>
      </c>
      <c r="J154" s="27" t="s">
        <v>67</v>
      </c>
      <c r="K154" s="94" t="s">
        <v>68</v>
      </c>
      <c r="L154" s="94" t="s">
        <v>69</v>
      </c>
      <c r="M154" s="94" t="s">
        <v>70</v>
      </c>
      <c r="N154" s="94" t="s">
        <v>71</v>
      </c>
      <c r="O154" s="94" t="s">
        <v>72</v>
      </c>
      <c r="P154" s="96" t="s">
        <v>73</v>
      </c>
      <c r="Q154" s="97"/>
      <c r="R154" s="98"/>
    </row>
    <row r="155" spans="1:18" ht="18" thickBot="1">
      <c r="A155" s="95"/>
      <c r="B155" s="95"/>
      <c r="C155" s="95"/>
      <c r="D155" s="95"/>
      <c r="E155" s="95"/>
      <c r="F155" s="95"/>
      <c r="G155" s="95"/>
      <c r="H155" s="95"/>
      <c r="I155" s="95"/>
      <c r="J155" s="28" t="s">
        <v>74</v>
      </c>
      <c r="K155" s="95"/>
      <c r="L155" s="95"/>
      <c r="M155" s="95"/>
      <c r="N155" s="95"/>
      <c r="O155" s="95"/>
      <c r="P155" s="99"/>
      <c r="Q155" s="100"/>
      <c r="R155" s="101"/>
    </row>
    <row r="156" spans="1:18" ht="18" thickBot="1">
      <c r="A156" s="3" t="s">
        <v>17</v>
      </c>
      <c r="B156" s="28" t="s">
        <v>76</v>
      </c>
      <c r="C156" s="28">
        <v>1</v>
      </c>
      <c r="D156" s="30">
        <v>2769.57</v>
      </c>
      <c r="E156" s="30">
        <v>2844</v>
      </c>
      <c r="F156" s="30">
        <v>5613.57</v>
      </c>
      <c r="G156" s="30">
        <v>604.71</v>
      </c>
      <c r="H156" s="30">
        <v>1000</v>
      </c>
      <c r="I156" s="28" t="s">
        <v>77</v>
      </c>
      <c r="J156" s="30">
        <v>7218.28</v>
      </c>
      <c r="K156" s="30">
        <v>64964.52</v>
      </c>
      <c r="L156" s="30">
        <v>4210.18</v>
      </c>
      <c r="M156" s="28">
        <v>0</v>
      </c>
      <c r="N156" s="30">
        <v>408.24</v>
      </c>
      <c r="O156" s="30">
        <v>69582.94</v>
      </c>
      <c r="P156" s="102">
        <v>69582.94</v>
      </c>
      <c r="Q156" s="103"/>
      <c r="R156" s="104"/>
    </row>
    <row r="157" spans="1:18" ht="18" thickBot="1">
      <c r="A157" s="92" t="s">
        <v>78</v>
      </c>
      <c r="B157" s="93"/>
      <c r="C157" s="28"/>
      <c r="D157" s="30">
        <v>2769.57</v>
      </c>
      <c r="E157" s="30">
        <v>2844</v>
      </c>
      <c r="F157" s="30">
        <v>5613.57</v>
      </c>
      <c r="G157" s="30">
        <v>604.71</v>
      </c>
      <c r="H157" s="30">
        <v>1000</v>
      </c>
      <c r="I157" s="28" t="s">
        <v>77</v>
      </c>
      <c r="J157" s="30">
        <v>7218.28</v>
      </c>
      <c r="K157" s="30">
        <v>64964.52</v>
      </c>
      <c r="L157" s="30">
        <v>4210.18</v>
      </c>
      <c r="M157" s="28">
        <v>0</v>
      </c>
      <c r="N157" s="30">
        <v>408.24</v>
      </c>
      <c r="O157" s="30">
        <v>69582.94</v>
      </c>
      <c r="P157" s="102">
        <v>69582.94</v>
      </c>
      <c r="Q157" s="103"/>
      <c r="R157" s="104"/>
    </row>
    <row r="158" spans="1:18" ht="35" thickBot="1">
      <c r="A158" s="94" t="s">
        <v>44</v>
      </c>
      <c r="B158" s="94" t="s">
        <v>45</v>
      </c>
      <c r="C158" s="28" t="s">
        <v>46</v>
      </c>
      <c r="D158" s="28" t="s">
        <v>47</v>
      </c>
      <c r="E158" s="28" t="s">
        <v>48</v>
      </c>
      <c r="F158" s="28" t="s">
        <v>49</v>
      </c>
      <c r="G158" s="28" t="s">
        <v>50</v>
      </c>
      <c r="H158" s="28" t="s">
        <v>51</v>
      </c>
      <c r="I158" s="28" t="s">
        <v>52</v>
      </c>
      <c r="J158" s="28" t="s">
        <v>53</v>
      </c>
      <c r="K158" s="28" t="s">
        <v>54</v>
      </c>
      <c r="L158" s="28" t="s">
        <v>55</v>
      </c>
      <c r="M158" s="28" t="s">
        <v>56</v>
      </c>
      <c r="N158" s="28" t="s">
        <v>57</v>
      </c>
      <c r="O158" s="28" t="s">
        <v>58</v>
      </c>
      <c r="P158" s="92" t="s">
        <v>59</v>
      </c>
      <c r="Q158" s="110"/>
      <c r="R158" s="93"/>
    </row>
    <row r="159" spans="1:18" ht="17">
      <c r="A159" s="108"/>
      <c r="B159" s="108"/>
      <c r="C159" s="94" t="s">
        <v>60</v>
      </c>
      <c r="D159" s="94" t="s">
        <v>61</v>
      </c>
      <c r="E159" s="94" t="s">
        <v>62</v>
      </c>
      <c r="F159" s="94" t="s">
        <v>63</v>
      </c>
      <c r="G159" s="94" t="s">
        <v>64</v>
      </c>
      <c r="H159" s="94" t="s">
        <v>65</v>
      </c>
      <c r="I159" s="94" t="s">
        <v>66</v>
      </c>
      <c r="J159" s="27" t="s">
        <v>67</v>
      </c>
      <c r="K159" s="94" t="s">
        <v>68</v>
      </c>
      <c r="L159" s="94" t="s">
        <v>69</v>
      </c>
      <c r="M159" s="94" t="s">
        <v>70</v>
      </c>
      <c r="N159" s="94" t="s">
        <v>71</v>
      </c>
      <c r="O159" s="94" t="s">
        <v>72</v>
      </c>
      <c r="P159" s="96" t="s">
        <v>73</v>
      </c>
      <c r="Q159" s="97"/>
      <c r="R159" s="98"/>
    </row>
    <row r="160" spans="1:18" ht="18" thickBot="1">
      <c r="A160" s="95"/>
      <c r="B160" s="95"/>
      <c r="C160" s="95"/>
      <c r="D160" s="95"/>
      <c r="E160" s="95"/>
      <c r="F160" s="95"/>
      <c r="G160" s="95"/>
      <c r="H160" s="95"/>
      <c r="I160" s="95"/>
      <c r="J160" s="28" t="s">
        <v>74</v>
      </c>
      <c r="K160" s="95"/>
      <c r="L160" s="95"/>
      <c r="M160" s="95"/>
      <c r="N160" s="95"/>
      <c r="O160" s="95"/>
      <c r="P160" s="99"/>
      <c r="Q160" s="100"/>
      <c r="R160" s="101"/>
    </row>
    <row r="161" spans="1:18" ht="18" thickBot="1">
      <c r="A161" s="3" t="s">
        <v>18</v>
      </c>
      <c r="B161" s="28" t="s">
        <v>76</v>
      </c>
      <c r="C161" s="28">
        <v>1</v>
      </c>
      <c r="D161" s="30">
        <v>2769.57</v>
      </c>
      <c r="E161" s="30">
        <v>2844</v>
      </c>
      <c r="F161" s="30">
        <v>5613.57</v>
      </c>
      <c r="G161" s="30">
        <v>604.71</v>
      </c>
      <c r="H161" s="30">
        <v>1000</v>
      </c>
      <c r="I161" s="28" t="s">
        <v>77</v>
      </c>
      <c r="J161" s="30">
        <v>7218.28</v>
      </c>
      <c r="K161" s="30">
        <v>64964.52</v>
      </c>
      <c r="L161" s="30">
        <v>4210.18</v>
      </c>
      <c r="M161" s="28">
        <v>0</v>
      </c>
      <c r="N161" s="30">
        <v>408.24</v>
      </c>
      <c r="O161" s="30">
        <v>69582.94</v>
      </c>
      <c r="P161" s="102">
        <v>69582.94</v>
      </c>
      <c r="Q161" s="103"/>
      <c r="R161" s="104"/>
    </row>
    <row r="162" spans="1:18" ht="18" thickBot="1">
      <c r="A162" s="106" t="s">
        <v>78</v>
      </c>
      <c r="B162" s="107"/>
      <c r="C162" s="28"/>
      <c r="D162" s="30">
        <v>2769.57</v>
      </c>
      <c r="E162" s="30">
        <v>2844</v>
      </c>
      <c r="F162" s="30">
        <v>5613.57</v>
      </c>
      <c r="G162" s="30">
        <v>604.71</v>
      </c>
      <c r="H162" s="30">
        <v>1000</v>
      </c>
      <c r="I162" s="28" t="s">
        <v>77</v>
      </c>
      <c r="J162" s="30">
        <v>7218.28</v>
      </c>
      <c r="K162" s="30">
        <v>64964.52</v>
      </c>
      <c r="L162" s="30">
        <v>4210.18</v>
      </c>
      <c r="M162" s="28">
        <v>0</v>
      </c>
      <c r="N162" s="30">
        <v>408.24</v>
      </c>
      <c r="O162" s="30">
        <v>69582.94</v>
      </c>
      <c r="P162" s="102">
        <v>69582.94</v>
      </c>
      <c r="Q162" s="103"/>
      <c r="R162" s="104"/>
    </row>
    <row r="163" spans="1:18">
      <c r="A163" s="33"/>
    </row>
    <row r="164" spans="1:18">
      <c r="A164" s="33"/>
    </row>
    <row r="165" spans="1:18">
      <c r="A165" s="16" t="s">
        <v>86</v>
      </c>
    </row>
    <row r="166" spans="1:18" ht="17" thickBot="1">
      <c r="A166" s="33"/>
    </row>
    <row r="167" spans="1:18" ht="35" thickBot="1">
      <c r="A167" s="94" t="s">
        <v>44</v>
      </c>
      <c r="B167" s="94" t="s">
        <v>45</v>
      </c>
      <c r="C167" s="23" t="s">
        <v>46</v>
      </c>
      <c r="D167" s="23" t="s">
        <v>47</v>
      </c>
      <c r="E167" s="23" t="s">
        <v>48</v>
      </c>
      <c r="F167" s="23" t="s">
        <v>49</v>
      </c>
      <c r="G167" s="23" t="s">
        <v>50</v>
      </c>
      <c r="H167" s="23" t="s">
        <v>51</v>
      </c>
      <c r="I167" s="23" t="s">
        <v>52</v>
      </c>
      <c r="J167" s="23" t="s">
        <v>53</v>
      </c>
      <c r="K167" s="23" t="s">
        <v>54</v>
      </c>
      <c r="L167" s="23" t="s">
        <v>55</v>
      </c>
      <c r="M167" s="23" t="s">
        <v>56</v>
      </c>
      <c r="N167" s="23" t="s">
        <v>57</v>
      </c>
      <c r="O167" s="23" t="s">
        <v>58</v>
      </c>
      <c r="P167" s="25" t="s">
        <v>59</v>
      </c>
      <c r="Q167" s="26"/>
      <c r="R167" s="26"/>
    </row>
    <row r="168" spans="1:18" ht="17">
      <c r="A168" s="108"/>
      <c r="B168" s="108"/>
      <c r="C168" s="94" t="s">
        <v>60</v>
      </c>
      <c r="D168" s="94" t="s">
        <v>61</v>
      </c>
      <c r="E168" s="94" t="s">
        <v>62</v>
      </c>
      <c r="F168" s="94" t="s">
        <v>63</v>
      </c>
      <c r="G168" s="94" t="s">
        <v>64</v>
      </c>
      <c r="H168" s="94" t="s">
        <v>65</v>
      </c>
      <c r="I168" s="94" t="s">
        <v>66</v>
      </c>
      <c r="J168" s="27" t="s">
        <v>67</v>
      </c>
      <c r="K168" s="94" t="s">
        <v>68</v>
      </c>
      <c r="L168" s="94" t="s">
        <v>69</v>
      </c>
      <c r="M168" s="94" t="s">
        <v>70</v>
      </c>
      <c r="N168" s="94" t="s">
        <v>71</v>
      </c>
      <c r="O168" s="94" t="s">
        <v>72</v>
      </c>
      <c r="P168" s="94" t="s">
        <v>73</v>
      </c>
      <c r="Q168" s="105"/>
      <c r="R168" s="109"/>
    </row>
    <row r="169" spans="1:18" ht="18" thickBot="1">
      <c r="A169" s="95"/>
      <c r="B169" s="95"/>
      <c r="C169" s="95"/>
      <c r="D169" s="95"/>
      <c r="E169" s="95"/>
      <c r="F169" s="95"/>
      <c r="G169" s="95"/>
      <c r="H169" s="95"/>
      <c r="I169" s="95"/>
      <c r="J169" s="28" t="s">
        <v>74</v>
      </c>
      <c r="K169" s="95"/>
      <c r="L169" s="95"/>
      <c r="M169" s="95"/>
      <c r="N169" s="95"/>
      <c r="O169" s="95"/>
      <c r="P169" s="95"/>
      <c r="Q169" s="105"/>
      <c r="R169" s="109"/>
    </row>
    <row r="170" spans="1:18" ht="18" thickBot="1">
      <c r="A170" s="35" t="s">
        <v>19</v>
      </c>
      <c r="B170" s="28" t="s">
        <v>76</v>
      </c>
      <c r="C170" s="28">
        <v>1</v>
      </c>
      <c r="D170" s="30">
        <v>2769.57</v>
      </c>
      <c r="E170" s="30">
        <v>2844</v>
      </c>
      <c r="F170" s="30">
        <v>5613.57</v>
      </c>
      <c r="G170" s="30">
        <v>604.71</v>
      </c>
      <c r="H170" s="30">
        <v>1000</v>
      </c>
      <c r="I170" s="28" t="s">
        <v>77</v>
      </c>
      <c r="J170" s="30">
        <v>7218.28</v>
      </c>
      <c r="K170" s="30">
        <v>64964.52</v>
      </c>
      <c r="L170" s="30">
        <v>4210.18</v>
      </c>
      <c r="M170" s="28">
        <v>0</v>
      </c>
      <c r="N170" s="30">
        <v>408.24</v>
      </c>
      <c r="O170" s="30">
        <v>69582.94</v>
      </c>
      <c r="P170" s="31">
        <v>69582.94</v>
      </c>
      <c r="Q170" s="26"/>
      <c r="R170" s="26"/>
    </row>
    <row r="171" spans="1:18" ht="18" thickBot="1">
      <c r="A171" s="106" t="s">
        <v>78</v>
      </c>
      <c r="B171" s="107"/>
      <c r="C171" s="28"/>
      <c r="D171" s="30">
        <v>2769.57</v>
      </c>
      <c r="E171" s="30">
        <v>2844</v>
      </c>
      <c r="F171" s="30">
        <v>5613.57</v>
      </c>
      <c r="G171" s="30">
        <v>604.71</v>
      </c>
      <c r="H171" s="30">
        <v>1000</v>
      </c>
      <c r="I171" s="28" t="s">
        <v>77</v>
      </c>
      <c r="J171" s="30">
        <v>7218.28</v>
      </c>
      <c r="K171" s="30">
        <v>64964.52</v>
      </c>
      <c r="L171" s="30">
        <v>4210.18</v>
      </c>
      <c r="M171" s="28">
        <v>0</v>
      </c>
      <c r="N171" s="30">
        <v>408.24</v>
      </c>
      <c r="O171" s="30">
        <v>69582.94</v>
      </c>
      <c r="P171" s="31">
        <v>69582.94</v>
      </c>
      <c r="Q171" s="26"/>
      <c r="R171" s="26"/>
    </row>
    <row r="172" spans="1:18" ht="35" thickBot="1">
      <c r="A172" s="94" t="s">
        <v>44</v>
      </c>
      <c r="B172" s="94" t="s">
        <v>45</v>
      </c>
      <c r="C172" s="28" t="s">
        <v>46</v>
      </c>
      <c r="D172" s="28" t="s">
        <v>47</v>
      </c>
      <c r="E172" s="28" t="s">
        <v>48</v>
      </c>
      <c r="F172" s="28" t="s">
        <v>49</v>
      </c>
      <c r="G172" s="28" t="s">
        <v>50</v>
      </c>
      <c r="H172" s="28" t="s">
        <v>51</v>
      </c>
      <c r="I172" s="28" t="s">
        <v>52</v>
      </c>
      <c r="J172" s="28" t="s">
        <v>53</v>
      </c>
      <c r="K172" s="28" t="s">
        <v>54</v>
      </c>
      <c r="L172" s="28" t="s">
        <v>55</v>
      </c>
      <c r="M172" s="28" t="s">
        <v>56</v>
      </c>
      <c r="N172" s="28" t="s">
        <v>57</v>
      </c>
      <c r="O172" s="28" t="s">
        <v>58</v>
      </c>
      <c r="P172" s="99" t="s">
        <v>59</v>
      </c>
      <c r="Q172" s="101"/>
      <c r="R172" s="26"/>
    </row>
    <row r="173" spans="1:18" ht="17">
      <c r="A173" s="108"/>
      <c r="B173" s="108"/>
      <c r="C173" s="94" t="s">
        <v>60</v>
      </c>
      <c r="D173" s="94" t="s">
        <v>61</v>
      </c>
      <c r="E173" s="94" t="s">
        <v>62</v>
      </c>
      <c r="F173" s="94" t="s">
        <v>63</v>
      </c>
      <c r="G173" s="94" t="s">
        <v>64</v>
      </c>
      <c r="H173" s="94" t="s">
        <v>65</v>
      </c>
      <c r="I173" s="94" t="s">
        <v>66</v>
      </c>
      <c r="J173" s="27" t="s">
        <v>67</v>
      </c>
      <c r="K173" s="94" t="s">
        <v>68</v>
      </c>
      <c r="L173" s="94" t="s">
        <v>69</v>
      </c>
      <c r="M173" s="94" t="s">
        <v>70</v>
      </c>
      <c r="N173" s="94" t="s">
        <v>71</v>
      </c>
      <c r="O173" s="94" t="s">
        <v>72</v>
      </c>
      <c r="P173" s="96" t="s">
        <v>73</v>
      </c>
      <c r="Q173" s="98"/>
      <c r="R173" s="105"/>
    </row>
    <row r="174" spans="1:18" ht="18" thickBot="1">
      <c r="A174" s="95"/>
      <c r="B174" s="95"/>
      <c r="C174" s="95"/>
      <c r="D174" s="95"/>
      <c r="E174" s="95"/>
      <c r="F174" s="95"/>
      <c r="G174" s="95"/>
      <c r="H174" s="95"/>
      <c r="I174" s="95"/>
      <c r="J174" s="28" t="s">
        <v>74</v>
      </c>
      <c r="K174" s="95"/>
      <c r="L174" s="95"/>
      <c r="M174" s="95"/>
      <c r="N174" s="95"/>
      <c r="O174" s="95"/>
      <c r="P174" s="99"/>
      <c r="Q174" s="101"/>
      <c r="R174" s="105"/>
    </row>
    <row r="175" spans="1:18" ht="18" thickBot="1">
      <c r="A175" s="35" t="s">
        <v>20</v>
      </c>
      <c r="B175" s="28" t="s">
        <v>76</v>
      </c>
      <c r="C175" s="28">
        <v>1</v>
      </c>
      <c r="D175" s="30">
        <v>2769.57</v>
      </c>
      <c r="E175" s="30">
        <v>4390.3</v>
      </c>
      <c r="F175" s="30">
        <v>7159.87</v>
      </c>
      <c r="G175" s="30">
        <v>821.15</v>
      </c>
      <c r="H175" s="30">
        <v>1000</v>
      </c>
      <c r="I175" s="28" t="s">
        <v>77</v>
      </c>
      <c r="J175" s="30">
        <v>8981.02</v>
      </c>
      <c r="K175" s="30">
        <v>80829.179999999993</v>
      </c>
      <c r="L175" s="30">
        <v>5369.68</v>
      </c>
      <c r="M175" s="28">
        <v>0</v>
      </c>
      <c r="N175" s="30">
        <v>570.57000000000005</v>
      </c>
      <c r="O175" s="30">
        <v>86769.43</v>
      </c>
      <c r="P175" s="102">
        <v>86769.43</v>
      </c>
      <c r="Q175" s="104"/>
      <c r="R175" s="26"/>
    </row>
    <row r="176" spans="1:18" ht="18" thickBot="1">
      <c r="A176" s="106" t="s">
        <v>78</v>
      </c>
      <c r="B176" s="107"/>
      <c r="C176" s="28"/>
      <c r="D176" s="30">
        <v>2769.57</v>
      </c>
      <c r="E176" s="30">
        <v>4390.3</v>
      </c>
      <c r="F176" s="30">
        <v>7159.87</v>
      </c>
      <c r="G176" s="30">
        <v>821.15</v>
      </c>
      <c r="H176" s="30">
        <v>1000</v>
      </c>
      <c r="I176" s="28" t="s">
        <v>77</v>
      </c>
      <c r="J176" s="30">
        <v>8981.02</v>
      </c>
      <c r="K176" s="30">
        <v>80829.179999999993</v>
      </c>
      <c r="L176" s="30">
        <v>5369.68</v>
      </c>
      <c r="M176" s="28">
        <v>0</v>
      </c>
      <c r="N176" s="30">
        <v>570.57000000000005</v>
      </c>
      <c r="O176" s="30">
        <v>86769.43</v>
      </c>
      <c r="P176" s="102">
        <v>86769.43</v>
      </c>
      <c r="Q176" s="104"/>
      <c r="R176" s="26"/>
    </row>
    <row r="177" spans="1:18" ht="35" thickBot="1">
      <c r="A177" s="94" t="s">
        <v>44</v>
      </c>
      <c r="B177" s="94" t="s">
        <v>45</v>
      </c>
      <c r="C177" s="28" t="s">
        <v>46</v>
      </c>
      <c r="D177" s="28" t="s">
        <v>47</v>
      </c>
      <c r="E177" s="28" t="s">
        <v>48</v>
      </c>
      <c r="F177" s="28" t="s">
        <v>49</v>
      </c>
      <c r="G177" s="28" t="s">
        <v>50</v>
      </c>
      <c r="H177" s="28" t="s">
        <v>51</v>
      </c>
      <c r="I177" s="28" t="s">
        <v>52</v>
      </c>
      <c r="J177" s="28" t="s">
        <v>53</v>
      </c>
      <c r="K177" s="28" t="s">
        <v>54</v>
      </c>
      <c r="L177" s="28" t="s">
        <v>55</v>
      </c>
      <c r="M177" s="28" t="s">
        <v>56</v>
      </c>
      <c r="N177" s="28" t="s">
        <v>57</v>
      </c>
      <c r="O177" s="28" t="s">
        <v>58</v>
      </c>
      <c r="P177" s="99" t="s">
        <v>59</v>
      </c>
      <c r="Q177" s="100"/>
      <c r="R177" s="101"/>
    </row>
    <row r="178" spans="1:18" ht="17">
      <c r="A178" s="108"/>
      <c r="B178" s="108"/>
      <c r="C178" s="94" t="s">
        <v>60</v>
      </c>
      <c r="D178" s="94" t="s">
        <v>61</v>
      </c>
      <c r="E178" s="94" t="s">
        <v>62</v>
      </c>
      <c r="F178" s="94" t="s">
        <v>63</v>
      </c>
      <c r="G178" s="94" t="s">
        <v>64</v>
      </c>
      <c r="H178" s="94" t="s">
        <v>65</v>
      </c>
      <c r="I178" s="94" t="s">
        <v>66</v>
      </c>
      <c r="J178" s="27" t="s">
        <v>67</v>
      </c>
      <c r="K178" s="94" t="s">
        <v>68</v>
      </c>
      <c r="L178" s="94" t="s">
        <v>69</v>
      </c>
      <c r="M178" s="94" t="s">
        <v>70</v>
      </c>
      <c r="N178" s="94" t="s">
        <v>71</v>
      </c>
      <c r="O178" s="94" t="s">
        <v>72</v>
      </c>
      <c r="P178" s="96" t="s">
        <v>73</v>
      </c>
      <c r="Q178" s="97"/>
      <c r="R178" s="98"/>
    </row>
    <row r="179" spans="1:18" ht="18" thickBot="1">
      <c r="A179" s="95"/>
      <c r="B179" s="95"/>
      <c r="C179" s="95"/>
      <c r="D179" s="95"/>
      <c r="E179" s="95"/>
      <c r="F179" s="95"/>
      <c r="G179" s="95"/>
      <c r="H179" s="95"/>
      <c r="I179" s="95"/>
      <c r="J179" s="28" t="s">
        <v>74</v>
      </c>
      <c r="K179" s="95"/>
      <c r="L179" s="95"/>
      <c r="M179" s="95"/>
      <c r="N179" s="95"/>
      <c r="O179" s="95"/>
      <c r="P179" s="99"/>
      <c r="Q179" s="100"/>
      <c r="R179" s="101"/>
    </row>
    <row r="180" spans="1:18" ht="18" thickBot="1">
      <c r="A180" s="29" t="s">
        <v>21</v>
      </c>
      <c r="B180" s="28" t="s">
        <v>82</v>
      </c>
      <c r="C180" s="28">
        <v>1</v>
      </c>
      <c r="D180" s="30">
        <v>2182.59</v>
      </c>
      <c r="E180" s="30">
        <v>2604.88</v>
      </c>
      <c r="F180" s="30">
        <v>4787.47</v>
      </c>
      <c r="G180" s="30">
        <v>489.06</v>
      </c>
      <c r="H180" s="30">
        <v>1000</v>
      </c>
      <c r="I180" s="28" t="s">
        <v>77</v>
      </c>
      <c r="J180" s="30">
        <v>6276.53</v>
      </c>
      <c r="K180" s="30">
        <v>56488.77</v>
      </c>
      <c r="L180" s="30">
        <v>3590.6</v>
      </c>
      <c r="M180" s="28">
        <v>0</v>
      </c>
      <c r="N180" s="30">
        <v>329.68</v>
      </c>
      <c r="O180" s="30">
        <v>60409.05</v>
      </c>
      <c r="P180" s="102">
        <v>60409.05</v>
      </c>
      <c r="Q180" s="103"/>
      <c r="R180" s="104"/>
    </row>
    <row r="181" spans="1:18" ht="18" thickBot="1">
      <c r="A181" s="92" t="s">
        <v>78</v>
      </c>
      <c r="B181" s="93"/>
      <c r="C181" s="28"/>
      <c r="D181" s="30">
        <v>2182.59</v>
      </c>
      <c r="E181" s="30">
        <v>2604.88</v>
      </c>
      <c r="F181" s="30">
        <v>4787.47</v>
      </c>
      <c r="G181" s="30">
        <v>489.06</v>
      </c>
      <c r="H181" s="30">
        <v>1000</v>
      </c>
      <c r="I181" s="28" t="s">
        <v>77</v>
      </c>
      <c r="J181" s="30">
        <v>6276.53</v>
      </c>
      <c r="K181" s="30">
        <v>56488.77</v>
      </c>
      <c r="L181" s="30">
        <v>3590.6</v>
      </c>
      <c r="M181" s="28">
        <v>0</v>
      </c>
      <c r="N181" s="30">
        <v>329.68</v>
      </c>
      <c r="O181" s="30">
        <v>60409.05</v>
      </c>
      <c r="P181" s="102">
        <v>60409.05</v>
      </c>
      <c r="Q181" s="103"/>
      <c r="R181" s="104"/>
    </row>
    <row r="182" spans="1:18">
      <c r="A182" s="33"/>
    </row>
    <row r="183" spans="1:18">
      <c r="A183" s="33"/>
    </row>
    <row r="184" spans="1:18">
      <c r="A184" s="33"/>
    </row>
    <row r="185" spans="1:18">
      <c r="A185" s="33"/>
    </row>
    <row r="186" spans="1:18">
      <c r="A186" s="33"/>
    </row>
    <row r="187" spans="1:18">
      <c r="A187" s="13" t="s">
        <v>41</v>
      </c>
    </row>
    <row r="188" spans="1:18">
      <c r="A188" s="14" t="s">
        <v>42</v>
      </c>
    </row>
    <row r="189" spans="1:18">
      <c r="A189" s="14" t="s">
        <v>43</v>
      </c>
    </row>
    <row r="190" spans="1:18">
      <c r="A190" s="16" t="s">
        <v>98</v>
      </c>
    </row>
    <row r="191" spans="1:18" ht="17" thickBot="1">
      <c r="A191" s="16"/>
    </row>
    <row r="192" spans="1:18" ht="35" thickBot="1">
      <c r="A192" s="94" t="s">
        <v>44</v>
      </c>
      <c r="B192" s="94" t="s">
        <v>45</v>
      </c>
      <c r="C192" s="23" t="s">
        <v>46</v>
      </c>
      <c r="D192" s="23" t="s">
        <v>47</v>
      </c>
      <c r="E192" s="23" t="s">
        <v>48</v>
      </c>
      <c r="F192" s="23" t="s">
        <v>49</v>
      </c>
      <c r="G192" s="23" t="s">
        <v>50</v>
      </c>
      <c r="H192" s="23" t="s">
        <v>51</v>
      </c>
      <c r="I192" s="23" t="s">
        <v>52</v>
      </c>
      <c r="J192" s="23" t="s">
        <v>53</v>
      </c>
      <c r="K192" s="23" t="s">
        <v>88</v>
      </c>
      <c r="L192" s="23" t="s">
        <v>55</v>
      </c>
      <c r="M192" s="23" t="s">
        <v>56</v>
      </c>
      <c r="N192" s="23" t="s">
        <v>57</v>
      </c>
      <c r="O192" s="23" t="s">
        <v>58</v>
      </c>
      <c r="P192" s="25" t="s">
        <v>59</v>
      </c>
      <c r="Q192" s="26"/>
      <c r="R192" s="26"/>
    </row>
    <row r="193" spans="1:18" ht="17">
      <c r="A193" s="108"/>
      <c r="B193" s="108"/>
      <c r="C193" s="94" t="s">
        <v>60</v>
      </c>
      <c r="D193" s="94" t="s">
        <v>61</v>
      </c>
      <c r="E193" s="94" t="s">
        <v>62</v>
      </c>
      <c r="F193" s="94" t="s">
        <v>63</v>
      </c>
      <c r="G193" s="94" t="s">
        <v>64</v>
      </c>
      <c r="H193" s="94" t="s">
        <v>65</v>
      </c>
      <c r="I193" s="94" t="s">
        <v>66</v>
      </c>
      <c r="J193" s="27" t="s">
        <v>67</v>
      </c>
      <c r="K193" s="27" t="s">
        <v>89</v>
      </c>
      <c r="L193" s="94" t="s">
        <v>69</v>
      </c>
      <c r="M193" s="94" t="s">
        <v>70</v>
      </c>
      <c r="N193" s="94" t="s">
        <v>71</v>
      </c>
      <c r="O193" s="94" t="s">
        <v>72</v>
      </c>
      <c r="P193" s="94" t="s">
        <v>73</v>
      </c>
      <c r="Q193" s="105"/>
      <c r="R193" s="109"/>
    </row>
    <row r="194" spans="1:18" ht="18" thickBot="1">
      <c r="A194" s="95"/>
      <c r="B194" s="95"/>
      <c r="C194" s="95"/>
      <c r="D194" s="95"/>
      <c r="E194" s="95"/>
      <c r="F194" s="95"/>
      <c r="G194" s="95"/>
      <c r="H194" s="95"/>
      <c r="I194" s="95"/>
      <c r="J194" s="28" t="s">
        <v>74</v>
      </c>
      <c r="K194" s="28" t="s">
        <v>75</v>
      </c>
      <c r="L194" s="95"/>
      <c r="M194" s="95"/>
      <c r="N194" s="95"/>
      <c r="O194" s="95"/>
      <c r="P194" s="95"/>
      <c r="Q194" s="105"/>
      <c r="R194" s="109"/>
    </row>
    <row r="195" spans="1:18" ht="18" thickBot="1">
      <c r="A195" s="29" t="s">
        <v>11</v>
      </c>
      <c r="B195" s="28" t="s">
        <v>76</v>
      </c>
      <c r="C195" s="28">
        <v>1</v>
      </c>
      <c r="D195" s="30">
        <v>2769.57</v>
      </c>
      <c r="E195" s="30">
        <v>4390.3</v>
      </c>
      <c r="F195" s="30">
        <v>7159.87</v>
      </c>
      <c r="G195" s="30">
        <v>821.15</v>
      </c>
      <c r="H195" s="30">
        <v>1000</v>
      </c>
      <c r="I195" s="28" t="s">
        <v>77</v>
      </c>
      <c r="J195" s="30">
        <v>8981.02</v>
      </c>
      <c r="K195" s="30">
        <v>107772.24</v>
      </c>
      <c r="L195" s="30">
        <v>7159.87</v>
      </c>
      <c r="M195" s="30">
        <v>2386.62</v>
      </c>
      <c r="N195" s="30">
        <v>1014.76</v>
      </c>
      <c r="O195" s="30">
        <v>118333.49</v>
      </c>
      <c r="P195" s="31">
        <v>118333.49</v>
      </c>
      <c r="Q195" s="26"/>
      <c r="R195" s="26"/>
    </row>
    <row r="196" spans="1:18" ht="18" thickBot="1">
      <c r="A196" s="106" t="s">
        <v>78</v>
      </c>
      <c r="B196" s="107"/>
      <c r="C196" s="28"/>
      <c r="D196" s="30">
        <v>2769.57</v>
      </c>
      <c r="E196" s="30">
        <v>4390.3</v>
      </c>
      <c r="F196" s="30">
        <v>7159.87</v>
      </c>
      <c r="G196" s="30">
        <v>821.15</v>
      </c>
      <c r="H196" s="30">
        <v>1000</v>
      </c>
      <c r="I196" s="28" t="s">
        <v>77</v>
      </c>
      <c r="J196" s="30">
        <v>8981.02</v>
      </c>
      <c r="K196" s="30">
        <v>107772.24</v>
      </c>
      <c r="L196" s="30">
        <v>7159.87</v>
      </c>
      <c r="M196" s="30">
        <v>2386.62</v>
      </c>
      <c r="N196" s="30">
        <v>1014.76</v>
      </c>
      <c r="O196" s="30">
        <v>118333.49</v>
      </c>
      <c r="P196" s="31">
        <v>118333.49</v>
      </c>
      <c r="Q196" s="26"/>
      <c r="R196" s="26"/>
    </row>
    <row r="197" spans="1:18" ht="35" thickBot="1">
      <c r="A197" s="94" t="s">
        <v>44</v>
      </c>
      <c r="B197" s="94" t="s">
        <v>45</v>
      </c>
      <c r="C197" s="28" t="s">
        <v>46</v>
      </c>
      <c r="D197" s="28" t="s">
        <v>47</v>
      </c>
      <c r="E197" s="28" t="s">
        <v>48</v>
      </c>
      <c r="F197" s="28" t="s">
        <v>49</v>
      </c>
      <c r="G197" s="28" t="s">
        <v>50</v>
      </c>
      <c r="H197" s="28" t="s">
        <v>51</v>
      </c>
      <c r="I197" s="28" t="s">
        <v>52</v>
      </c>
      <c r="J197" s="28" t="s">
        <v>53</v>
      </c>
      <c r="K197" s="28" t="s">
        <v>88</v>
      </c>
      <c r="L197" s="28" t="s">
        <v>55</v>
      </c>
      <c r="M197" s="28" t="s">
        <v>56</v>
      </c>
      <c r="N197" s="28" t="s">
        <v>57</v>
      </c>
      <c r="O197" s="28" t="s">
        <v>58</v>
      </c>
      <c r="P197" s="99" t="s">
        <v>59</v>
      </c>
      <c r="Q197" s="101"/>
      <c r="R197" s="26"/>
    </row>
    <row r="198" spans="1:18" ht="17">
      <c r="A198" s="108"/>
      <c r="B198" s="108"/>
      <c r="C198" s="94" t="s">
        <v>60</v>
      </c>
      <c r="D198" s="94" t="s">
        <v>61</v>
      </c>
      <c r="E198" s="94" t="s">
        <v>62</v>
      </c>
      <c r="F198" s="94" t="s">
        <v>63</v>
      </c>
      <c r="G198" s="94" t="s">
        <v>64</v>
      </c>
      <c r="H198" s="94" t="s">
        <v>65</v>
      </c>
      <c r="I198" s="94" t="s">
        <v>66</v>
      </c>
      <c r="J198" s="27" t="s">
        <v>67</v>
      </c>
      <c r="K198" s="27" t="s">
        <v>89</v>
      </c>
      <c r="L198" s="94" t="s">
        <v>69</v>
      </c>
      <c r="M198" s="94" t="s">
        <v>70</v>
      </c>
      <c r="N198" s="94" t="s">
        <v>71</v>
      </c>
      <c r="O198" s="94" t="s">
        <v>72</v>
      </c>
      <c r="P198" s="96" t="s">
        <v>73</v>
      </c>
      <c r="Q198" s="98"/>
      <c r="R198" s="105"/>
    </row>
    <row r="199" spans="1:18" ht="18" thickBot="1">
      <c r="A199" s="95"/>
      <c r="B199" s="95"/>
      <c r="C199" s="95"/>
      <c r="D199" s="95"/>
      <c r="E199" s="95"/>
      <c r="F199" s="95"/>
      <c r="G199" s="95"/>
      <c r="H199" s="95"/>
      <c r="I199" s="95"/>
      <c r="J199" s="28" t="s">
        <v>74</v>
      </c>
      <c r="K199" s="28" t="s">
        <v>75</v>
      </c>
      <c r="L199" s="95"/>
      <c r="M199" s="95"/>
      <c r="N199" s="95"/>
      <c r="O199" s="95"/>
      <c r="P199" s="99"/>
      <c r="Q199" s="101"/>
      <c r="R199" s="105"/>
    </row>
    <row r="200" spans="1:18" ht="18" thickBot="1">
      <c r="A200" s="29" t="s">
        <v>12</v>
      </c>
      <c r="B200" s="28" t="s">
        <v>76</v>
      </c>
      <c r="C200" s="28">
        <v>1</v>
      </c>
      <c r="D200" s="30">
        <v>2769.57</v>
      </c>
      <c r="E200" s="30">
        <v>4390.3</v>
      </c>
      <c r="F200" s="30">
        <v>7159.87</v>
      </c>
      <c r="G200" s="30">
        <v>821.15</v>
      </c>
      <c r="H200" s="30">
        <v>1000</v>
      </c>
      <c r="I200" s="28" t="s">
        <v>77</v>
      </c>
      <c r="J200" s="30">
        <v>8981.02</v>
      </c>
      <c r="K200" s="30">
        <v>107772.24</v>
      </c>
      <c r="L200" s="30">
        <v>7159.87</v>
      </c>
      <c r="M200" s="30">
        <v>2386.62</v>
      </c>
      <c r="N200" s="30">
        <v>1014.76</v>
      </c>
      <c r="O200" s="30">
        <v>118333.49</v>
      </c>
      <c r="P200" s="102">
        <v>118333.49</v>
      </c>
      <c r="Q200" s="104"/>
      <c r="R200" s="26"/>
    </row>
    <row r="201" spans="1:18" ht="18" thickBot="1">
      <c r="A201" s="106" t="s">
        <v>78</v>
      </c>
      <c r="B201" s="107"/>
      <c r="C201" s="28"/>
      <c r="D201" s="30">
        <v>2769.57</v>
      </c>
      <c r="E201" s="30">
        <v>4390.3</v>
      </c>
      <c r="F201" s="30">
        <v>7159.87</v>
      </c>
      <c r="G201" s="30">
        <v>821.15</v>
      </c>
      <c r="H201" s="30">
        <v>1000</v>
      </c>
      <c r="I201" s="28" t="s">
        <v>77</v>
      </c>
      <c r="J201" s="30">
        <v>8981.02</v>
      </c>
      <c r="K201" s="30">
        <v>107772.24</v>
      </c>
      <c r="L201" s="30">
        <v>7159.87</v>
      </c>
      <c r="M201" s="30">
        <v>2386.62</v>
      </c>
      <c r="N201" s="30">
        <v>1014.76</v>
      </c>
      <c r="O201" s="30">
        <v>118333.49</v>
      </c>
      <c r="P201" s="102">
        <v>118333.49</v>
      </c>
      <c r="Q201" s="104"/>
      <c r="R201" s="26"/>
    </row>
    <row r="202" spans="1:18" ht="35" thickBot="1">
      <c r="A202" s="94" t="s">
        <v>44</v>
      </c>
      <c r="B202" s="94" t="s">
        <v>45</v>
      </c>
      <c r="C202" s="28" t="s">
        <v>46</v>
      </c>
      <c r="D202" s="28" t="s">
        <v>47</v>
      </c>
      <c r="E202" s="28" t="s">
        <v>80</v>
      </c>
      <c r="F202" s="28" t="s">
        <v>49</v>
      </c>
      <c r="G202" s="28" t="s">
        <v>50</v>
      </c>
      <c r="H202" s="28" t="s">
        <v>51</v>
      </c>
      <c r="I202" s="28" t="s">
        <v>52</v>
      </c>
      <c r="J202" s="28" t="s">
        <v>53</v>
      </c>
      <c r="K202" s="28" t="s">
        <v>88</v>
      </c>
      <c r="L202" s="28" t="s">
        <v>55</v>
      </c>
      <c r="M202" s="28" t="s">
        <v>56</v>
      </c>
      <c r="N202" s="28" t="s">
        <v>57</v>
      </c>
      <c r="O202" s="28" t="s">
        <v>58</v>
      </c>
      <c r="P202" s="99" t="s">
        <v>59</v>
      </c>
      <c r="Q202" s="100"/>
      <c r="R202" s="101"/>
    </row>
    <row r="203" spans="1:18" ht="17">
      <c r="A203" s="108"/>
      <c r="B203" s="108"/>
      <c r="C203" s="94" t="s">
        <v>60</v>
      </c>
      <c r="D203" s="94" t="s">
        <v>61</v>
      </c>
      <c r="E203" s="94" t="s">
        <v>62</v>
      </c>
      <c r="F203" s="94" t="s">
        <v>63</v>
      </c>
      <c r="G203" s="94" t="s">
        <v>64</v>
      </c>
      <c r="H203" s="94" t="s">
        <v>65</v>
      </c>
      <c r="I203" s="94" t="s">
        <v>66</v>
      </c>
      <c r="J203" s="27" t="s">
        <v>67</v>
      </c>
      <c r="K203" s="27" t="s">
        <v>89</v>
      </c>
      <c r="L203" s="94" t="s">
        <v>69</v>
      </c>
      <c r="M203" s="94" t="s">
        <v>70</v>
      </c>
      <c r="N203" s="94" t="s">
        <v>71</v>
      </c>
      <c r="O203" s="94" t="s">
        <v>72</v>
      </c>
      <c r="P203" s="96" t="s">
        <v>73</v>
      </c>
      <c r="Q203" s="97"/>
      <c r="R203" s="98"/>
    </row>
    <row r="204" spans="1:18" ht="18" thickBot="1">
      <c r="A204" s="95"/>
      <c r="B204" s="95"/>
      <c r="C204" s="95"/>
      <c r="D204" s="95"/>
      <c r="E204" s="95"/>
      <c r="F204" s="95"/>
      <c r="G204" s="95"/>
      <c r="H204" s="95"/>
      <c r="I204" s="95"/>
      <c r="J204" s="28" t="s">
        <v>74</v>
      </c>
      <c r="K204" s="28" t="s">
        <v>75</v>
      </c>
      <c r="L204" s="95"/>
      <c r="M204" s="95"/>
      <c r="N204" s="95"/>
      <c r="O204" s="95"/>
      <c r="P204" s="99"/>
      <c r="Q204" s="100"/>
      <c r="R204" s="101"/>
    </row>
    <row r="205" spans="1:18" ht="18" thickBot="1">
      <c r="A205" s="29" t="s">
        <v>81</v>
      </c>
      <c r="B205" s="28" t="s">
        <v>76</v>
      </c>
      <c r="C205" s="28">
        <v>34</v>
      </c>
      <c r="D205" s="30">
        <v>6397.19</v>
      </c>
      <c r="E205" s="30">
        <v>7356.77</v>
      </c>
      <c r="F205" s="30">
        <v>13753.96</v>
      </c>
      <c r="G205" s="30">
        <v>1782.62</v>
      </c>
      <c r="H205" s="30">
        <v>1000</v>
      </c>
      <c r="I205" s="28" t="s">
        <v>77</v>
      </c>
      <c r="J205" s="30">
        <v>16536.580000000002</v>
      </c>
      <c r="K205" s="30">
        <v>198438.96</v>
      </c>
      <c r="L205" s="30">
        <v>13753.96</v>
      </c>
      <c r="M205" s="30">
        <v>4584.66</v>
      </c>
      <c r="N205" s="30">
        <v>2243.29</v>
      </c>
      <c r="O205" s="30">
        <v>219020.87</v>
      </c>
      <c r="P205" s="102">
        <v>7446709.5800000001</v>
      </c>
      <c r="Q205" s="103"/>
      <c r="R205" s="104"/>
    </row>
    <row r="206" spans="1:18" ht="18" thickBot="1">
      <c r="A206" s="92" t="s">
        <v>78</v>
      </c>
      <c r="B206" s="93"/>
      <c r="C206" s="28"/>
      <c r="D206" s="30">
        <v>6397.19</v>
      </c>
      <c r="E206" s="30">
        <v>7356.77</v>
      </c>
      <c r="F206" s="30">
        <v>13753.96</v>
      </c>
      <c r="G206" s="30">
        <v>1782.62</v>
      </c>
      <c r="H206" s="30">
        <v>1000</v>
      </c>
      <c r="I206" s="28" t="s">
        <v>77</v>
      </c>
      <c r="J206" s="30">
        <v>16536.580000000002</v>
      </c>
      <c r="K206" s="30">
        <v>198438.96</v>
      </c>
      <c r="L206" s="30">
        <v>13753.96</v>
      </c>
      <c r="M206" s="30">
        <v>4584.66</v>
      </c>
      <c r="N206" s="30">
        <v>2243.29</v>
      </c>
      <c r="O206" s="30">
        <v>219020.87</v>
      </c>
      <c r="P206" s="102">
        <v>7446709.5800000001</v>
      </c>
      <c r="Q206" s="103"/>
      <c r="R206" s="104"/>
    </row>
    <row r="207" spans="1:18">
      <c r="A207" s="14"/>
    </row>
    <row r="208" spans="1:18">
      <c r="A208" s="14"/>
    </row>
    <row r="209" spans="1:18">
      <c r="A209" s="16" t="s">
        <v>98</v>
      </c>
    </row>
    <row r="210" spans="1:18" ht="17" thickBot="1">
      <c r="A210" s="16"/>
    </row>
    <row r="211" spans="1:18" ht="35" thickBot="1">
      <c r="A211" s="94" t="s">
        <v>44</v>
      </c>
      <c r="B211" s="94" t="s">
        <v>45</v>
      </c>
      <c r="C211" s="23" t="s">
        <v>46</v>
      </c>
      <c r="D211" s="23" t="s">
        <v>47</v>
      </c>
      <c r="E211" s="23" t="s">
        <v>48</v>
      </c>
      <c r="F211" s="23" t="s">
        <v>49</v>
      </c>
      <c r="G211" s="23" t="s">
        <v>50</v>
      </c>
      <c r="H211" s="23" t="s">
        <v>51</v>
      </c>
      <c r="I211" s="23" t="s">
        <v>52</v>
      </c>
      <c r="J211" s="23" t="s">
        <v>53</v>
      </c>
      <c r="K211" s="23" t="s">
        <v>88</v>
      </c>
      <c r="L211" s="23" t="s">
        <v>55</v>
      </c>
      <c r="M211" s="23" t="s">
        <v>56</v>
      </c>
      <c r="N211" s="23" t="s">
        <v>57</v>
      </c>
      <c r="O211" s="23" t="s">
        <v>58</v>
      </c>
      <c r="P211" s="25" t="s">
        <v>59</v>
      </c>
      <c r="Q211" s="26"/>
      <c r="R211" s="26"/>
    </row>
    <row r="212" spans="1:18" ht="17">
      <c r="A212" s="108"/>
      <c r="B212" s="108"/>
      <c r="C212" s="94" t="s">
        <v>60</v>
      </c>
      <c r="D212" s="94" t="s">
        <v>61</v>
      </c>
      <c r="E212" s="94" t="s">
        <v>62</v>
      </c>
      <c r="F212" s="94" t="s">
        <v>63</v>
      </c>
      <c r="G212" s="94" t="s">
        <v>64</v>
      </c>
      <c r="H212" s="94" t="s">
        <v>65</v>
      </c>
      <c r="I212" s="94" t="s">
        <v>66</v>
      </c>
      <c r="J212" s="27" t="s">
        <v>67</v>
      </c>
      <c r="K212" s="27" t="s">
        <v>89</v>
      </c>
      <c r="L212" s="94" t="s">
        <v>69</v>
      </c>
      <c r="M212" s="94" t="s">
        <v>70</v>
      </c>
      <c r="N212" s="94" t="s">
        <v>71</v>
      </c>
      <c r="O212" s="94" t="s">
        <v>72</v>
      </c>
      <c r="P212" s="94" t="s">
        <v>73</v>
      </c>
      <c r="Q212" s="105"/>
      <c r="R212" s="109"/>
    </row>
    <row r="213" spans="1:18" ht="18" thickBot="1">
      <c r="A213" s="95"/>
      <c r="B213" s="95"/>
      <c r="C213" s="95"/>
      <c r="D213" s="95"/>
      <c r="E213" s="95"/>
      <c r="F213" s="95"/>
      <c r="G213" s="95"/>
      <c r="H213" s="95"/>
      <c r="I213" s="95"/>
      <c r="J213" s="28" t="s">
        <v>74</v>
      </c>
      <c r="K213" s="28" t="s">
        <v>75</v>
      </c>
      <c r="L213" s="95"/>
      <c r="M213" s="95"/>
      <c r="N213" s="95"/>
      <c r="O213" s="95"/>
      <c r="P213" s="95"/>
      <c r="Q213" s="105"/>
      <c r="R213" s="109"/>
    </row>
    <row r="214" spans="1:18" ht="18" thickBot="1">
      <c r="A214" s="29" t="s">
        <v>14</v>
      </c>
      <c r="B214" s="28" t="s">
        <v>76</v>
      </c>
      <c r="C214" s="28">
        <v>2</v>
      </c>
      <c r="D214" s="30">
        <v>2769.57</v>
      </c>
      <c r="E214" s="30">
        <v>4390.3</v>
      </c>
      <c r="F214" s="30">
        <v>7159.87</v>
      </c>
      <c r="G214" s="30">
        <v>821.15</v>
      </c>
      <c r="H214" s="30">
        <v>1000</v>
      </c>
      <c r="I214" s="28" t="s">
        <v>77</v>
      </c>
      <c r="J214" s="30">
        <v>8981.02</v>
      </c>
      <c r="K214" s="30">
        <v>107772.24</v>
      </c>
      <c r="L214" s="30">
        <v>7159.87</v>
      </c>
      <c r="M214" s="30">
        <v>2386.62</v>
      </c>
      <c r="N214" s="30">
        <v>1014.76</v>
      </c>
      <c r="O214" s="30">
        <v>118333.49</v>
      </c>
      <c r="P214" s="31">
        <v>236666.98</v>
      </c>
      <c r="Q214" s="26"/>
      <c r="R214" s="26"/>
    </row>
    <row r="215" spans="1:18" ht="18" thickBot="1">
      <c r="A215" s="106" t="s">
        <v>78</v>
      </c>
      <c r="B215" s="107"/>
      <c r="C215" s="28"/>
      <c r="D215" s="30">
        <v>2769.57</v>
      </c>
      <c r="E215" s="30">
        <v>4390.3</v>
      </c>
      <c r="F215" s="30">
        <v>7159.87</v>
      </c>
      <c r="G215" s="30">
        <v>821.15</v>
      </c>
      <c r="H215" s="30">
        <v>1000</v>
      </c>
      <c r="I215" s="28" t="s">
        <v>77</v>
      </c>
      <c r="J215" s="30">
        <v>8981.02</v>
      </c>
      <c r="K215" s="30">
        <v>107772.24</v>
      </c>
      <c r="L215" s="30">
        <v>7159.87</v>
      </c>
      <c r="M215" s="30">
        <v>2386.62</v>
      </c>
      <c r="N215" s="30">
        <v>1014.76</v>
      </c>
      <c r="O215" s="30">
        <v>118333.49</v>
      </c>
      <c r="P215" s="31">
        <v>236666.98</v>
      </c>
      <c r="Q215" s="26"/>
      <c r="R215" s="26"/>
    </row>
    <row r="216" spans="1:18" ht="35" thickBot="1">
      <c r="A216" s="94" t="s">
        <v>44</v>
      </c>
      <c r="B216" s="94" t="s">
        <v>45</v>
      </c>
      <c r="C216" s="28" t="s">
        <v>46</v>
      </c>
      <c r="D216" s="28" t="s">
        <v>47</v>
      </c>
      <c r="E216" s="28" t="s">
        <v>48</v>
      </c>
      <c r="F216" s="28" t="s">
        <v>49</v>
      </c>
      <c r="G216" s="28" t="s">
        <v>50</v>
      </c>
      <c r="H216" s="28" t="s">
        <v>51</v>
      </c>
      <c r="I216" s="28" t="s">
        <v>52</v>
      </c>
      <c r="J216" s="28" t="s">
        <v>53</v>
      </c>
      <c r="K216" s="28" t="s">
        <v>88</v>
      </c>
      <c r="L216" s="28" t="s">
        <v>55</v>
      </c>
      <c r="M216" s="28" t="s">
        <v>56</v>
      </c>
      <c r="N216" s="28" t="s">
        <v>57</v>
      </c>
      <c r="O216" s="28" t="s">
        <v>58</v>
      </c>
      <c r="P216" s="99" t="s">
        <v>90</v>
      </c>
      <c r="Q216" s="101"/>
      <c r="R216" s="26"/>
    </row>
    <row r="217" spans="1:18" ht="17">
      <c r="A217" s="108"/>
      <c r="B217" s="108"/>
      <c r="C217" s="94" t="s">
        <v>60</v>
      </c>
      <c r="D217" s="94" t="s">
        <v>61</v>
      </c>
      <c r="E217" s="94" t="s">
        <v>62</v>
      </c>
      <c r="F217" s="94" t="s">
        <v>63</v>
      </c>
      <c r="G217" s="94" t="s">
        <v>64</v>
      </c>
      <c r="H217" s="94" t="s">
        <v>65</v>
      </c>
      <c r="I217" s="94" t="s">
        <v>66</v>
      </c>
      <c r="J217" s="27" t="s">
        <v>67</v>
      </c>
      <c r="K217" s="27" t="s">
        <v>89</v>
      </c>
      <c r="L217" s="94" t="s">
        <v>69</v>
      </c>
      <c r="M217" s="94" t="s">
        <v>70</v>
      </c>
      <c r="N217" s="94" t="s">
        <v>71</v>
      </c>
      <c r="O217" s="94" t="s">
        <v>72</v>
      </c>
      <c r="P217" s="96" t="s">
        <v>73</v>
      </c>
      <c r="Q217" s="98"/>
      <c r="R217" s="105"/>
    </row>
    <row r="218" spans="1:18" ht="18" thickBot="1">
      <c r="A218" s="95"/>
      <c r="B218" s="95"/>
      <c r="C218" s="95"/>
      <c r="D218" s="95"/>
      <c r="E218" s="95"/>
      <c r="F218" s="95"/>
      <c r="G218" s="95"/>
      <c r="H218" s="95"/>
      <c r="I218" s="95"/>
      <c r="J218" s="28" t="s">
        <v>74</v>
      </c>
      <c r="K218" s="28" t="s">
        <v>75</v>
      </c>
      <c r="L218" s="95"/>
      <c r="M218" s="95"/>
      <c r="N218" s="95"/>
      <c r="O218" s="95"/>
      <c r="P218" s="99"/>
      <c r="Q218" s="101"/>
      <c r="R218" s="105"/>
    </row>
    <row r="219" spans="1:18" ht="18" thickBot="1">
      <c r="A219" s="29" t="s">
        <v>22</v>
      </c>
      <c r="B219" s="28" t="s">
        <v>76</v>
      </c>
      <c r="C219" s="28">
        <v>2</v>
      </c>
      <c r="D219" s="30">
        <v>2769.57</v>
      </c>
      <c r="E219" s="30">
        <v>4390.3</v>
      </c>
      <c r="F219" s="30">
        <v>7159.87</v>
      </c>
      <c r="G219" s="30">
        <v>821.15</v>
      </c>
      <c r="H219" s="30">
        <v>1000</v>
      </c>
      <c r="I219" s="28" t="s">
        <v>77</v>
      </c>
      <c r="J219" s="30">
        <v>8981.02</v>
      </c>
      <c r="K219" s="30">
        <v>107772.24</v>
      </c>
      <c r="L219" s="30">
        <v>7159.87</v>
      </c>
      <c r="M219" s="30">
        <v>2386.62</v>
      </c>
      <c r="N219" s="30">
        <v>1014.76</v>
      </c>
      <c r="O219" s="30">
        <v>118333.49</v>
      </c>
      <c r="P219" s="102">
        <v>236666.98</v>
      </c>
      <c r="Q219" s="104"/>
      <c r="R219" s="26"/>
    </row>
    <row r="220" spans="1:18" ht="18" thickBot="1">
      <c r="A220" s="106" t="s">
        <v>78</v>
      </c>
      <c r="B220" s="107"/>
      <c r="C220" s="28"/>
      <c r="D220" s="30">
        <v>2769.57</v>
      </c>
      <c r="E220" s="30">
        <v>4390.3</v>
      </c>
      <c r="F220" s="30">
        <v>7159.87</v>
      </c>
      <c r="G220" s="30">
        <v>821.15</v>
      </c>
      <c r="H220" s="30">
        <v>1000</v>
      </c>
      <c r="I220" s="28" t="s">
        <v>77</v>
      </c>
      <c r="J220" s="30">
        <v>8981.02</v>
      </c>
      <c r="K220" s="30">
        <v>107772.24</v>
      </c>
      <c r="L220" s="30">
        <v>7159.87</v>
      </c>
      <c r="M220" s="30">
        <v>2386.62</v>
      </c>
      <c r="N220" s="30">
        <v>1014.76</v>
      </c>
      <c r="O220" s="30">
        <v>118333.49</v>
      </c>
      <c r="P220" s="102">
        <v>236666.98</v>
      </c>
      <c r="Q220" s="104"/>
      <c r="R220" s="26"/>
    </row>
    <row r="221" spans="1:18" ht="35" thickBot="1">
      <c r="A221" s="94" t="s">
        <v>44</v>
      </c>
      <c r="B221" s="94" t="s">
        <v>45</v>
      </c>
      <c r="C221" s="28" t="s">
        <v>46</v>
      </c>
      <c r="D221" s="28" t="s">
        <v>47</v>
      </c>
      <c r="E221" s="28" t="s">
        <v>48</v>
      </c>
      <c r="F221" s="28" t="s">
        <v>49</v>
      </c>
      <c r="G221" s="28" t="s">
        <v>50</v>
      </c>
      <c r="H221" s="28" t="s">
        <v>51</v>
      </c>
      <c r="I221" s="28" t="s">
        <v>52</v>
      </c>
      <c r="J221" s="28" t="s">
        <v>53</v>
      </c>
      <c r="K221" s="28" t="s">
        <v>88</v>
      </c>
      <c r="L221" s="28" t="s">
        <v>55</v>
      </c>
      <c r="M221" s="28" t="s">
        <v>56</v>
      </c>
      <c r="N221" s="28" t="s">
        <v>57</v>
      </c>
      <c r="O221" s="28" t="s">
        <v>58</v>
      </c>
      <c r="P221" s="99" t="s">
        <v>59</v>
      </c>
      <c r="Q221" s="100"/>
      <c r="R221" s="101"/>
    </row>
    <row r="222" spans="1:18" ht="17">
      <c r="A222" s="108"/>
      <c r="B222" s="108"/>
      <c r="C222" s="94" t="s">
        <v>60</v>
      </c>
      <c r="D222" s="94" t="s">
        <v>61</v>
      </c>
      <c r="E222" s="94" t="s">
        <v>62</v>
      </c>
      <c r="F222" s="94" t="s">
        <v>63</v>
      </c>
      <c r="G222" s="94" t="s">
        <v>64</v>
      </c>
      <c r="H222" s="94" t="s">
        <v>65</v>
      </c>
      <c r="I222" s="94" t="s">
        <v>66</v>
      </c>
      <c r="J222" s="27" t="s">
        <v>67</v>
      </c>
      <c r="K222" s="27" t="s">
        <v>89</v>
      </c>
      <c r="L222" s="94" t="s">
        <v>69</v>
      </c>
      <c r="M222" s="94" t="s">
        <v>70</v>
      </c>
      <c r="N222" s="94" t="s">
        <v>71</v>
      </c>
      <c r="O222" s="94" t="s">
        <v>72</v>
      </c>
      <c r="P222" s="96" t="s">
        <v>73</v>
      </c>
      <c r="Q222" s="97"/>
      <c r="R222" s="98"/>
    </row>
    <row r="223" spans="1:18" ht="18" thickBot="1">
      <c r="A223" s="95"/>
      <c r="B223" s="95"/>
      <c r="C223" s="95"/>
      <c r="D223" s="95"/>
      <c r="E223" s="95"/>
      <c r="F223" s="95"/>
      <c r="G223" s="95"/>
      <c r="H223" s="95"/>
      <c r="I223" s="95"/>
      <c r="J223" s="28" t="s">
        <v>74</v>
      </c>
      <c r="K223" s="28" t="s">
        <v>75</v>
      </c>
      <c r="L223" s="95"/>
      <c r="M223" s="95"/>
      <c r="N223" s="95"/>
      <c r="O223" s="95"/>
      <c r="P223" s="99"/>
      <c r="Q223" s="100"/>
      <c r="R223" s="101"/>
    </row>
    <row r="224" spans="1:18" ht="18" thickBot="1">
      <c r="A224" s="29" t="s">
        <v>23</v>
      </c>
      <c r="B224" s="28" t="s">
        <v>76</v>
      </c>
      <c r="C224" s="28">
        <v>1</v>
      </c>
      <c r="D224" s="30">
        <v>2769.57</v>
      </c>
      <c r="E224" s="30">
        <v>4390.3</v>
      </c>
      <c r="F224" s="30">
        <v>7159.87</v>
      </c>
      <c r="G224" s="30">
        <v>821.15</v>
      </c>
      <c r="H224" s="30">
        <v>1000</v>
      </c>
      <c r="I224" s="28" t="s">
        <v>77</v>
      </c>
      <c r="J224" s="30">
        <v>8981.02</v>
      </c>
      <c r="K224" s="30">
        <v>107772.24</v>
      </c>
      <c r="L224" s="30">
        <v>7159.87</v>
      </c>
      <c r="M224" s="30">
        <v>2386.62</v>
      </c>
      <c r="N224" s="30">
        <v>1014.76</v>
      </c>
      <c r="O224" s="30">
        <v>118333.49</v>
      </c>
      <c r="P224" s="102">
        <v>118333.49</v>
      </c>
      <c r="Q224" s="103"/>
      <c r="R224" s="104"/>
    </row>
    <row r="225" spans="1:18" ht="18" thickBot="1">
      <c r="A225" s="92" t="s">
        <v>78</v>
      </c>
      <c r="B225" s="93"/>
      <c r="C225" s="28"/>
      <c r="D225" s="30">
        <v>2769.57</v>
      </c>
      <c r="E225" s="30">
        <v>4390.3</v>
      </c>
      <c r="F225" s="30">
        <v>7159.87</v>
      </c>
      <c r="G225" s="30">
        <v>821.15</v>
      </c>
      <c r="H225" s="30">
        <v>1000</v>
      </c>
      <c r="I225" s="28" t="s">
        <v>77</v>
      </c>
      <c r="J225" s="30">
        <v>8981.02</v>
      </c>
      <c r="K225" s="30">
        <v>107772.24</v>
      </c>
      <c r="L225" s="30">
        <v>7159.87</v>
      </c>
      <c r="M225" s="30">
        <v>2386.62</v>
      </c>
      <c r="N225" s="30">
        <v>1014.76</v>
      </c>
      <c r="O225" s="30">
        <v>118333.49</v>
      </c>
      <c r="P225" s="102">
        <v>118333.49</v>
      </c>
      <c r="Q225" s="103"/>
      <c r="R225" s="104"/>
    </row>
    <row r="226" spans="1:18">
      <c r="A226" s="32"/>
    </row>
    <row r="227" spans="1:18">
      <c r="A227" s="32"/>
    </row>
    <row r="228" spans="1:18">
      <c r="A228" s="16"/>
    </row>
    <row r="229" spans="1:18">
      <c r="A229" s="16" t="s">
        <v>98</v>
      </c>
    </row>
    <row r="230" spans="1:18" ht="17" thickBot="1">
      <c r="A230" s="33"/>
    </row>
    <row r="231" spans="1:18" ht="35" thickBot="1">
      <c r="A231" s="94" t="s">
        <v>44</v>
      </c>
      <c r="B231" s="94" t="s">
        <v>45</v>
      </c>
      <c r="C231" s="23" t="s">
        <v>46</v>
      </c>
      <c r="D231" s="23" t="s">
        <v>47</v>
      </c>
      <c r="E231" s="23" t="s">
        <v>48</v>
      </c>
      <c r="F231" s="23" t="s">
        <v>49</v>
      </c>
      <c r="G231" s="23" t="s">
        <v>85</v>
      </c>
      <c r="H231" s="23" t="s">
        <v>51</v>
      </c>
      <c r="I231" s="23" t="s">
        <v>52</v>
      </c>
      <c r="J231" s="23" t="s">
        <v>53</v>
      </c>
      <c r="K231" s="23" t="s">
        <v>88</v>
      </c>
      <c r="L231" s="23" t="s">
        <v>55</v>
      </c>
      <c r="M231" s="23" t="s">
        <v>56</v>
      </c>
      <c r="N231" s="23" t="s">
        <v>57</v>
      </c>
      <c r="O231" s="23" t="s">
        <v>58</v>
      </c>
      <c r="P231" s="25" t="s">
        <v>59</v>
      </c>
      <c r="Q231" s="26"/>
      <c r="R231" s="26"/>
    </row>
    <row r="232" spans="1:18" ht="17">
      <c r="A232" s="108"/>
      <c r="B232" s="108"/>
      <c r="C232" s="94" t="s">
        <v>60</v>
      </c>
      <c r="D232" s="94" t="s">
        <v>61</v>
      </c>
      <c r="E232" s="94" t="s">
        <v>62</v>
      </c>
      <c r="F232" s="94" t="s">
        <v>63</v>
      </c>
      <c r="G232" s="94" t="s">
        <v>64</v>
      </c>
      <c r="H232" s="94" t="s">
        <v>65</v>
      </c>
      <c r="I232" s="94" t="s">
        <v>66</v>
      </c>
      <c r="J232" s="27" t="s">
        <v>67</v>
      </c>
      <c r="K232" s="27" t="s">
        <v>89</v>
      </c>
      <c r="L232" s="94" t="s">
        <v>69</v>
      </c>
      <c r="M232" s="94" t="s">
        <v>70</v>
      </c>
      <c r="N232" s="94" t="s">
        <v>71</v>
      </c>
      <c r="O232" s="94" t="s">
        <v>72</v>
      </c>
      <c r="P232" s="94" t="s">
        <v>73</v>
      </c>
      <c r="Q232" s="105"/>
      <c r="R232" s="109"/>
    </row>
    <row r="233" spans="1:18" ht="18" thickBot="1">
      <c r="A233" s="95"/>
      <c r="B233" s="95"/>
      <c r="C233" s="95"/>
      <c r="D233" s="95"/>
      <c r="E233" s="95"/>
      <c r="F233" s="95"/>
      <c r="G233" s="95"/>
      <c r="H233" s="95"/>
      <c r="I233" s="95"/>
      <c r="J233" s="28" t="s">
        <v>74</v>
      </c>
      <c r="K233" s="28" t="s">
        <v>75</v>
      </c>
      <c r="L233" s="95"/>
      <c r="M233" s="95"/>
      <c r="N233" s="95"/>
      <c r="O233" s="95"/>
      <c r="P233" s="95"/>
      <c r="Q233" s="105"/>
      <c r="R233" s="109"/>
    </row>
    <row r="234" spans="1:18" ht="18" thickBot="1">
      <c r="A234" s="29" t="s">
        <v>24</v>
      </c>
      <c r="B234" s="28" t="s">
        <v>76</v>
      </c>
      <c r="C234" s="28">
        <v>1</v>
      </c>
      <c r="D234" s="30">
        <v>2769.57</v>
      </c>
      <c r="E234" s="30">
        <v>4390.3</v>
      </c>
      <c r="F234" s="30">
        <v>7159.87</v>
      </c>
      <c r="G234" s="30">
        <v>821.15</v>
      </c>
      <c r="H234" s="30">
        <v>1000</v>
      </c>
      <c r="I234" s="28" t="s">
        <v>77</v>
      </c>
      <c r="J234" s="30">
        <v>8981.02</v>
      </c>
      <c r="K234" s="30">
        <v>107772.24</v>
      </c>
      <c r="L234" s="30">
        <v>7159.87</v>
      </c>
      <c r="M234" s="30">
        <v>2386.62</v>
      </c>
      <c r="N234" s="30">
        <v>1014.76</v>
      </c>
      <c r="O234" s="30">
        <v>118333.49</v>
      </c>
      <c r="P234" s="31">
        <v>118333.49</v>
      </c>
      <c r="Q234" s="26"/>
      <c r="R234" s="26"/>
    </row>
    <row r="235" spans="1:18" ht="18" thickBot="1">
      <c r="A235" s="106" t="s">
        <v>78</v>
      </c>
      <c r="B235" s="107"/>
      <c r="C235" s="28"/>
      <c r="D235" s="30">
        <v>2769.57</v>
      </c>
      <c r="E235" s="30">
        <v>4390.3</v>
      </c>
      <c r="F235" s="30">
        <v>7159.87</v>
      </c>
      <c r="G235" s="30">
        <v>821.15</v>
      </c>
      <c r="H235" s="30">
        <v>1000</v>
      </c>
      <c r="I235" s="28" t="s">
        <v>77</v>
      </c>
      <c r="J235" s="30">
        <v>8981.02</v>
      </c>
      <c r="K235" s="30">
        <v>107772.24</v>
      </c>
      <c r="L235" s="30">
        <v>7159.87</v>
      </c>
      <c r="M235" s="30">
        <v>2386.62</v>
      </c>
      <c r="N235" s="30">
        <v>1014.76</v>
      </c>
      <c r="O235" s="30">
        <v>118333.49</v>
      </c>
      <c r="P235" s="31">
        <v>118333.49</v>
      </c>
      <c r="Q235" s="26"/>
      <c r="R235" s="26"/>
    </row>
    <row r="236" spans="1:18" ht="35" thickBot="1">
      <c r="A236" s="94" t="s">
        <v>44</v>
      </c>
      <c r="B236" s="94" t="s">
        <v>45</v>
      </c>
      <c r="C236" s="28" t="s">
        <v>46</v>
      </c>
      <c r="D236" s="28" t="s">
        <v>47</v>
      </c>
      <c r="E236" s="28" t="s">
        <v>48</v>
      </c>
      <c r="F236" s="28" t="s">
        <v>49</v>
      </c>
      <c r="G236" s="28" t="s">
        <v>50</v>
      </c>
      <c r="H236" s="28" t="s">
        <v>51</v>
      </c>
      <c r="I236" s="28" t="s">
        <v>52</v>
      </c>
      <c r="J236" s="28" t="s">
        <v>53</v>
      </c>
      <c r="K236" s="28" t="s">
        <v>88</v>
      </c>
      <c r="L236" s="28" t="s">
        <v>55</v>
      </c>
      <c r="M236" s="28" t="s">
        <v>56</v>
      </c>
      <c r="N236" s="28" t="s">
        <v>57</v>
      </c>
      <c r="O236" s="28" t="s">
        <v>58</v>
      </c>
      <c r="P236" s="99" t="s">
        <v>59</v>
      </c>
      <c r="Q236" s="101"/>
      <c r="R236" s="26"/>
    </row>
    <row r="237" spans="1:18" ht="17">
      <c r="A237" s="108"/>
      <c r="B237" s="108"/>
      <c r="C237" s="94" t="s">
        <v>60</v>
      </c>
      <c r="D237" s="94" t="s">
        <v>61</v>
      </c>
      <c r="E237" s="94" t="s">
        <v>62</v>
      </c>
      <c r="F237" s="94" t="s">
        <v>63</v>
      </c>
      <c r="G237" s="94" t="s">
        <v>64</v>
      </c>
      <c r="H237" s="94" t="s">
        <v>65</v>
      </c>
      <c r="I237" s="94" t="s">
        <v>66</v>
      </c>
      <c r="J237" s="27" t="s">
        <v>67</v>
      </c>
      <c r="K237" s="27" t="s">
        <v>89</v>
      </c>
      <c r="L237" s="94" t="s">
        <v>69</v>
      </c>
      <c r="M237" s="94" t="s">
        <v>70</v>
      </c>
      <c r="N237" s="94" t="s">
        <v>71</v>
      </c>
      <c r="O237" s="94" t="s">
        <v>72</v>
      </c>
      <c r="P237" s="96" t="s">
        <v>73</v>
      </c>
      <c r="Q237" s="98"/>
      <c r="R237" s="105"/>
    </row>
    <row r="238" spans="1:18" ht="18" thickBot="1">
      <c r="A238" s="95"/>
      <c r="B238" s="95"/>
      <c r="C238" s="95"/>
      <c r="D238" s="95"/>
      <c r="E238" s="95"/>
      <c r="F238" s="95"/>
      <c r="G238" s="95"/>
      <c r="H238" s="95"/>
      <c r="I238" s="95"/>
      <c r="J238" s="28" t="s">
        <v>74</v>
      </c>
      <c r="K238" s="28" t="s">
        <v>75</v>
      </c>
      <c r="L238" s="95"/>
      <c r="M238" s="95"/>
      <c r="N238" s="95"/>
      <c r="O238" s="95"/>
      <c r="P238" s="99"/>
      <c r="Q238" s="101"/>
      <c r="R238" s="105"/>
    </row>
    <row r="239" spans="1:18" ht="18" thickBot="1">
      <c r="A239" s="29" t="s">
        <v>25</v>
      </c>
      <c r="B239" s="28" t="s">
        <v>76</v>
      </c>
      <c r="C239" s="28">
        <v>2</v>
      </c>
      <c r="D239" s="30">
        <v>2769.57</v>
      </c>
      <c r="E239" s="30">
        <v>4390.3</v>
      </c>
      <c r="F239" s="30">
        <v>7159.87</v>
      </c>
      <c r="G239" s="30">
        <v>821.15</v>
      </c>
      <c r="H239" s="30">
        <v>1000</v>
      </c>
      <c r="I239" s="28" t="s">
        <v>77</v>
      </c>
      <c r="J239" s="30">
        <v>8981.02</v>
      </c>
      <c r="K239" s="30">
        <v>107772.24</v>
      </c>
      <c r="L239" s="30">
        <v>7159.87</v>
      </c>
      <c r="M239" s="30">
        <v>2386.62</v>
      </c>
      <c r="N239" s="30">
        <v>1014.76</v>
      </c>
      <c r="O239" s="30">
        <v>118333.49</v>
      </c>
      <c r="P239" s="102">
        <v>236666.98</v>
      </c>
      <c r="Q239" s="104"/>
      <c r="R239" s="26"/>
    </row>
    <row r="240" spans="1:18" ht="18" thickBot="1">
      <c r="A240" s="106" t="s">
        <v>78</v>
      </c>
      <c r="B240" s="107"/>
      <c r="C240" s="28"/>
      <c r="D240" s="30">
        <v>2769.57</v>
      </c>
      <c r="E240" s="30">
        <v>4390.3</v>
      </c>
      <c r="F240" s="30">
        <v>7159.87</v>
      </c>
      <c r="G240" s="30">
        <v>821.15</v>
      </c>
      <c r="H240" s="30">
        <v>1000</v>
      </c>
      <c r="I240" s="28" t="s">
        <v>77</v>
      </c>
      <c r="J240" s="30">
        <v>8981.02</v>
      </c>
      <c r="K240" s="30">
        <v>107772.24</v>
      </c>
      <c r="L240" s="30">
        <v>7159.87</v>
      </c>
      <c r="M240" s="30">
        <v>2386.62</v>
      </c>
      <c r="N240" s="30">
        <v>1014.76</v>
      </c>
      <c r="O240" s="30">
        <v>118333.49</v>
      </c>
      <c r="P240" s="102">
        <v>236666.98</v>
      </c>
      <c r="Q240" s="104"/>
      <c r="R240" s="26"/>
    </row>
    <row r="241" spans="1:19" ht="35" thickBot="1">
      <c r="A241" s="94" t="s">
        <v>44</v>
      </c>
      <c r="B241" s="94" t="s">
        <v>45</v>
      </c>
      <c r="C241" s="28" t="s">
        <v>46</v>
      </c>
      <c r="D241" s="28" t="s">
        <v>47</v>
      </c>
      <c r="E241" s="28" t="s">
        <v>48</v>
      </c>
      <c r="F241" s="28" t="s">
        <v>49</v>
      </c>
      <c r="G241" s="28" t="s">
        <v>50</v>
      </c>
      <c r="H241" s="28" t="s">
        <v>51</v>
      </c>
      <c r="I241" s="28" t="s">
        <v>52</v>
      </c>
      <c r="J241" s="28" t="s">
        <v>53</v>
      </c>
      <c r="K241" s="28" t="s">
        <v>88</v>
      </c>
      <c r="L241" s="28" t="s">
        <v>55</v>
      </c>
      <c r="M241" s="28" t="s">
        <v>56</v>
      </c>
      <c r="N241" s="28" t="s">
        <v>57</v>
      </c>
      <c r="O241" s="28" t="s">
        <v>58</v>
      </c>
      <c r="P241" s="99" t="s">
        <v>59</v>
      </c>
      <c r="Q241" s="100"/>
      <c r="R241" s="101"/>
    </row>
    <row r="242" spans="1:19" ht="17">
      <c r="A242" s="108"/>
      <c r="B242" s="108"/>
      <c r="C242" s="94" t="s">
        <v>60</v>
      </c>
      <c r="D242" s="94" t="s">
        <v>61</v>
      </c>
      <c r="E242" s="94" t="s">
        <v>62</v>
      </c>
      <c r="F242" s="94" t="s">
        <v>63</v>
      </c>
      <c r="G242" s="94" t="s">
        <v>64</v>
      </c>
      <c r="H242" s="94" t="s">
        <v>65</v>
      </c>
      <c r="I242" s="94" t="s">
        <v>66</v>
      </c>
      <c r="J242" s="27" t="s">
        <v>67</v>
      </c>
      <c r="K242" s="27" t="s">
        <v>89</v>
      </c>
      <c r="L242" s="94" t="s">
        <v>69</v>
      </c>
      <c r="M242" s="94" t="s">
        <v>70</v>
      </c>
      <c r="N242" s="94" t="s">
        <v>71</v>
      </c>
      <c r="O242" s="94" t="s">
        <v>72</v>
      </c>
      <c r="P242" s="96" t="s">
        <v>73</v>
      </c>
      <c r="Q242" s="97"/>
      <c r="R242" s="98"/>
    </row>
    <row r="243" spans="1:19" ht="18" thickBot="1">
      <c r="A243" s="95"/>
      <c r="B243" s="95"/>
      <c r="C243" s="95"/>
      <c r="D243" s="95"/>
      <c r="E243" s="95"/>
      <c r="F243" s="95"/>
      <c r="G243" s="95"/>
      <c r="H243" s="95"/>
      <c r="I243" s="95"/>
      <c r="J243" s="28" t="s">
        <v>74</v>
      </c>
      <c r="K243" s="28" t="s">
        <v>75</v>
      </c>
      <c r="L243" s="95"/>
      <c r="M243" s="95"/>
      <c r="N243" s="95"/>
      <c r="O243" s="95"/>
      <c r="P243" s="99"/>
      <c r="Q243" s="100"/>
      <c r="R243" s="101"/>
    </row>
    <row r="244" spans="1:19" ht="18" thickBot="1">
      <c r="A244" s="29" t="s">
        <v>91</v>
      </c>
      <c r="B244" s="28" t="s">
        <v>76</v>
      </c>
      <c r="C244" s="28">
        <v>1</v>
      </c>
      <c r="D244" s="30">
        <v>2769.57</v>
      </c>
      <c r="E244" s="30">
        <v>4390.3</v>
      </c>
      <c r="F244" s="30">
        <v>7159.87</v>
      </c>
      <c r="G244" s="30">
        <v>821.15</v>
      </c>
      <c r="H244" s="30">
        <v>1000</v>
      </c>
      <c r="I244" s="28" t="s">
        <v>77</v>
      </c>
      <c r="J244" s="30">
        <v>8981.02</v>
      </c>
      <c r="K244" s="30">
        <v>107772.24</v>
      </c>
      <c r="L244" s="30">
        <v>7159.87</v>
      </c>
      <c r="M244" s="30">
        <v>2386.62</v>
      </c>
      <c r="N244" s="30">
        <v>1014.76</v>
      </c>
      <c r="O244" s="30">
        <v>118333.49</v>
      </c>
      <c r="P244" s="102">
        <v>118333.49</v>
      </c>
      <c r="Q244" s="103"/>
      <c r="R244" s="104"/>
    </row>
    <row r="245" spans="1:19" ht="18" thickBot="1">
      <c r="A245" s="92" t="s">
        <v>78</v>
      </c>
      <c r="B245" s="93"/>
      <c r="C245" s="28"/>
      <c r="D245" s="30">
        <v>2769.57</v>
      </c>
      <c r="E245" s="30">
        <v>4390.3</v>
      </c>
      <c r="F245" s="30">
        <v>7159.87</v>
      </c>
      <c r="G245" s="30">
        <v>821.15</v>
      </c>
      <c r="H245" s="30">
        <v>1000</v>
      </c>
      <c r="I245" s="28" t="s">
        <v>77</v>
      </c>
      <c r="J245" s="30">
        <v>8981.02</v>
      </c>
      <c r="K245" s="30">
        <v>107772.24</v>
      </c>
      <c r="L245" s="30">
        <v>7159.87</v>
      </c>
      <c r="M245" s="30">
        <v>2386.62</v>
      </c>
      <c r="N245" s="30">
        <v>1014.76</v>
      </c>
      <c r="O245" s="30">
        <v>118333.49</v>
      </c>
      <c r="P245" s="102">
        <v>118333.49</v>
      </c>
      <c r="Q245" s="103"/>
      <c r="R245" s="104"/>
    </row>
    <row r="246" spans="1:19">
      <c r="A246" s="16"/>
    </row>
    <row r="247" spans="1:19">
      <c r="A247" s="16"/>
    </row>
    <row r="248" spans="1:19">
      <c r="A248" s="16"/>
    </row>
    <row r="249" spans="1:19">
      <c r="A249" s="16"/>
    </row>
    <row r="250" spans="1:19">
      <c r="A250" s="16"/>
    </row>
    <row r="251" spans="1:19">
      <c r="A251" s="16" t="s">
        <v>98</v>
      </c>
    </row>
    <row r="252" spans="1:19" ht="17" thickBot="1">
      <c r="A252" s="16"/>
    </row>
    <row r="253" spans="1:19" ht="35" thickBot="1">
      <c r="A253" s="94" t="s">
        <v>44</v>
      </c>
      <c r="B253" s="94" t="s">
        <v>45</v>
      </c>
      <c r="C253" s="23" t="s">
        <v>46</v>
      </c>
      <c r="D253" s="23" t="s">
        <v>47</v>
      </c>
      <c r="E253" s="23" t="s">
        <v>48</v>
      </c>
      <c r="F253" s="23" t="s">
        <v>49</v>
      </c>
      <c r="G253" s="23" t="s">
        <v>50</v>
      </c>
      <c r="H253" s="23" t="s">
        <v>51</v>
      </c>
      <c r="I253" s="23" t="s">
        <v>52</v>
      </c>
      <c r="J253" s="23" t="s">
        <v>53</v>
      </c>
      <c r="K253" s="92" t="s">
        <v>88</v>
      </c>
      <c r="L253" s="93"/>
      <c r="M253" s="23" t="s">
        <v>55</v>
      </c>
      <c r="N253" s="23" t="s">
        <v>56</v>
      </c>
      <c r="O253" s="23" t="s">
        <v>57</v>
      </c>
      <c r="P253" s="23" t="s">
        <v>58</v>
      </c>
      <c r="Q253" s="25" t="s">
        <v>59</v>
      </c>
      <c r="R253" s="26"/>
      <c r="S253" s="26"/>
    </row>
    <row r="254" spans="1:19" ht="17">
      <c r="A254" s="108"/>
      <c r="B254" s="108"/>
      <c r="C254" s="94" t="s">
        <v>60</v>
      </c>
      <c r="D254" s="94" t="s">
        <v>61</v>
      </c>
      <c r="E254" s="94" t="s">
        <v>62</v>
      </c>
      <c r="F254" s="94" t="s">
        <v>63</v>
      </c>
      <c r="G254" s="94" t="s">
        <v>64</v>
      </c>
      <c r="H254" s="94" t="s">
        <v>65</v>
      </c>
      <c r="I254" s="94" t="s">
        <v>66</v>
      </c>
      <c r="J254" s="27" t="s">
        <v>67</v>
      </c>
      <c r="K254" s="96" t="s">
        <v>89</v>
      </c>
      <c r="L254" s="98"/>
      <c r="M254" s="94" t="s">
        <v>69</v>
      </c>
      <c r="N254" s="94" t="s">
        <v>70</v>
      </c>
      <c r="O254" s="94" t="s">
        <v>71</v>
      </c>
      <c r="P254" s="94" t="s">
        <v>72</v>
      </c>
      <c r="Q254" s="94" t="s">
        <v>73</v>
      </c>
      <c r="R254" s="105"/>
      <c r="S254" s="109"/>
    </row>
    <row r="255" spans="1:19" ht="18" thickBot="1">
      <c r="A255" s="95"/>
      <c r="B255" s="95"/>
      <c r="C255" s="95"/>
      <c r="D255" s="95"/>
      <c r="E255" s="95"/>
      <c r="F255" s="95"/>
      <c r="G255" s="95"/>
      <c r="H255" s="95"/>
      <c r="I255" s="95"/>
      <c r="J255" s="28" t="s">
        <v>74</v>
      </c>
      <c r="K255" s="99" t="s">
        <v>75</v>
      </c>
      <c r="L255" s="101"/>
      <c r="M255" s="95"/>
      <c r="N255" s="95"/>
      <c r="O255" s="95"/>
      <c r="P255" s="95"/>
      <c r="Q255" s="95"/>
      <c r="R255" s="105"/>
      <c r="S255" s="109"/>
    </row>
    <row r="256" spans="1:19" ht="18" thickBot="1">
      <c r="A256" s="29" t="s">
        <v>27</v>
      </c>
      <c r="B256" s="28" t="s">
        <v>82</v>
      </c>
      <c r="C256" s="28">
        <v>5</v>
      </c>
      <c r="D256" s="30">
        <v>2182.59</v>
      </c>
      <c r="E256" s="30">
        <v>2604.88</v>
      </c>
      <c r="F256" s="30">
        <v>4787.47</v>
      </c>
      <c r="G256" s="30">
        <v>489.06</v>
      </c>
      <c r="H256" s="30">
        <v>1000</v>
      </c>
      <c r="I256" s="28" t="s">
        <v>77</v>
      </c>
      <c r="J256" s="30">
        <v>6276.53</v>
      </c>
      <c r="K256" s="102">
        <v>75318.36</v>
      </c>
      <c r="L256" s="104"/>
      <c r="M256" s="30">
        <v>4787.47</v>
      </c>
      <c r="N256" s="30">
        <v>1595.82</v>
      </c>
      <c r="O256" s="30">
        <v>712.47</v>
      </c>
      <c r="P256" s="30">
        <v>82414.12</v>
      </c>
      <c r="Q256" s="31">
        <v>412070.6</v>
      </c>
      <c r="R256" s="26"/>
      <c r="S256" s="26"/>
    </row>
    <row r="257" spans="1:19" ht="18" thickBot="1">
      <c r="A257" s="106" t="s">
        <v>78</v>
      </c>
      <c r="B257" s="107"/>
      <c r="C257" s="28"/>
      <c r="D257" s="30">
        <v>2182.59</v>
      </c>
      <c r="E257" s="30">
        <v>2604.88</v>
      </c>
      <c r="F257" s="30">
        <v>4787.47</v>
      </c>
      <c r="G257" s="30">
        <v>489.06</v>
      </c>
      <c r="H257" s="30">
        <v>1000</v>
      </c>
      <c r="I257" s="28" t="s">
        <v>77</v>
      </c>
      <c r="J257" s="30">
        <v>6276.53</v>
      </c>
      <c r="K257" s="102">
        <v>75318.36</v>
      </c>
      <c r="L257" s="104"/>
      <c r="M257" s="30">
        <v>4787.47</v>
      </c>
      <c r="N257" s="30">
        <v>1595.82</v>
      </c>
      <c r="O257" s="30">
        <v>712.47</v>
      </c>
      <c r="P257" s="30">
        <v>82414.12</v>
      </c>
      <c r="Q257" s="31">
        <v>412070.6</v>
      </c>
      <c r="R257" s="26"/>
      <c r="S257" s="26"/>
    </row>
    <row r="258" spans="1:19" ht="35" thickBot="1">
      <c r="A258" s="94" t="s">
        <v>44</v>
      </c>
      <c r="B258" s="94" t="s">
        <v>45</v>
      </c>
      <c r="C258" s="28" t="s">
        <v>46</v>
      </c>
      <c r="D258" s="28" t="s">
        <v>47</v>
      </c>
      <c r="E258" s="28" t="s">
        <v>48</v>
      </c>
      <c r="F258" s="28" t="s">
        <v>49</v>
      </c>
      <c r="G258" s="28" t="s">
        <v>50</v>
      </c>
      <c r="H258" s="28" t="s">
        <v>51</v>
      </c>
      <c r="I258" s="28" t="s">
        <v>52</v>
      </c>
      <c r="J258" s="28" t="s">
        <v>53</v>
      </c>
      <c r="K258" s="92" t="s">
        <v>88</v>
      </c>
      <c r="L258" s="93"/>
      <c r="M258" s="28" t="s">
        <v>55</v>
      </c>
      <c r="N258" s="28" t="s">
        <v>56</v>
      </c>
      <c r="O258" s="28" t="s">
        <v>57</v>
      </c>
      <c r="P258" s="28" t="s">
        <v>58</v>
      </c>
      <c r="Q258" s="99" t="s">
        <v>59</v>
      </c>
      <c r="R258" s="101"/>
      <c r="S258" s="26"/>
    </row>
    <row r="259" spans="1:19" ht="17">
      <c r="A259" s="108"/>
      <c r="B259" s="108"/>
      <c r="C259" s="94" t="s">
        <v>60</v>
      </c>
      <c r="D259" s="94" t="s">
        <v>61</v>
      </c>
      <c r="E259" s="94" t="s">
        <v>62</v>
      </c>
      <c r="F259" s="94" t="s">
        <v>63</v>
      </c>
      <c r="G259" s="94" t="s">
        <v>64</v>
      </c>
      <c r="H259" s="94" t="s">
        <v>65</v>
      </c>
      <c r="I259" s="94" t="s">
        <v>66</v>
      </c>
      <c r="J259" s="27" t="s">
        <v>67</v>
      </c>
      <c r="K259" s="96" t="s">
        <v>89</v>
      </c>
      <c r="L259" s="98"/>
      <c r="M259" s="94" t="s">
        <v>69</v>
      </c>
      <c r="N259" s="94" t="s">
        <v>70</v>
      </c>
      <c r="O259" s="94" t="s">
        <v>71</v>
      </c>
      <c r="P259" s="94" t="s">
        <v>72</v>
      </c>
      <c r="Q259" s="96" t="s">
        <v>73</v>
      </c>
      <c r="R259" s="98"/>
      <c r="S259" s="105"/>
    </row>
    <row r="260" spans="1:19" ht="18" thickBot="1">
      <c r="A260" s="95"/>
      <c r="B260" s="95"/>
      <c r="C260" s="95"/>
      <c r="D260" s="95"/>
      <c r="E260" s="95"/>
      <c r="F260" s="95"/>
      <c r="G260" s="95"/>
      <c r="H260" s="95"/>
      <c r="I260" s="95"/>
      <c r="J260" s="28" t="s">
        <v>74</v>
      </c>
      <c r="K260" s="99" t="s">
        <v>75</v>
      </c>
      <c r="L260" s="101"/>
      <c r="M260" s="95"/>
      <c r="N260" s="95"/>
      <c r="O260" s="95"/>
      <c r="P260" s="95"/>
      <c r="Q260" s="99"/>
      <c r="R260" s="101"/>
      <c r="S260" s="105"/>
    </row>
    <row r="261" spans="1:19" ht="17">
      <c r="A261" s="34" t="s">
        <v>83</v>
      </c>
      <c r="B261" s="94" t="s">
        <v>82</v>
      </c>
      <c r="C261" s="94">
        <v>4</v>
      </c>
      <c r="D261" s="111">
        <v>2182.59</v>
      </c>
      <c r="E261" s="111">
        <v>2604.88</v>
      </c>
      <c r="F261" s="111">
        <v>4787.47</v>
      </c>
      <c r="G261" s="111">
        <v>489.06</v>
      </c>
      <c r="H261" s="111">
        <v>1000</v>
      </c>
      <c r="I261" s="94" t="s">
        <v>77</v>
      </c>
      <c r="J261" s="111">
        <v>6276.53</v>
      </c>
      <c r="K261" s="113">
        <v>75318.36</v>
      </c>
      <c r="L261" s="114"/>
      <c r="M261" s="111">
        <v>4787.47</v>
      </c>
      <c r="N261" s="111">
        <v>1595.82</v>
      </c>
      <c r="O261" s="111">
        <v>712.47</v>
      </c>
      <c r="P261" s="111">
        <v>82414.12</v>
      </c>
      <c r="Q261" s="113">
        <v>329656.48</v>
      </c>
      <c r="R261" s="114"/>
      <c r="S261" s="105"/>
    </row>
    <row r="262" spans="1:19" ht="18" thickBot="1">
      <c r="A262" s="29" t="s">
        <v>84</v>
      </c>
      <c r="B262" s="95"/>
      <c r="C262" s="95"/>
      <c r="D262" s="112"/>
      <c r="E262" s="112"/>
      <c r="F262" s="112"/>
      <c r="G262" s="112"/>
      <c r="H262" s="112"/>
      <c r="I262" s="95"/>
      <c r="J262" s="112"/>
      <c r="K262" s="115"/>
      <c r="L262" s="116"/>
      <c r="M262" s="112"/>
      <c r="N262" s="112"/>
      <c r="O262" s="112"/>
      <c r="P262" s="112"/>
      <c r="Q262" s="115"/>
      <c r="R262" s="116"/>
      <c r="S262" s="105"/>
    </row>
    <row r="263" spans="1:19" ht="18" thickBot="1">
      <c r="A263" s="106" t="s">
        <v>78</v>
      </c>
      <c r="B263" s="107"/>
      <c r="C263" s="28"/>
      <c r="D263" s="30">
        <v>2182.59</v>
      </c>
      <c r="E263" s="30">
        <v>2604.88</v>
      </c>
      <c r="F263" s="30">
        <v>4787.47</v>
      </c>
      <c r="G263" s="30">
        <v>489.06</v>
      </c>
      <c r="H263" s="30">
        <v>1000</v>
      </c>
      <c r="I263" s="28" t="s">
        <v>77</v>
      </c>
      <c r="J263" s="30">
        <v>6276.53</v>
      </c>
      <c r="K263" s="102">
        <v>75318.36</v>
      </c>
      <c r="L263" s="104"/>
      <c r="M263" s="30">
        <v>4787.47</v>
      </c>
      <c r="N263" s="30">
        <v>1595.82</v>
      </c>
      <c r="O263" s="30">
        <v>712.47</v>
      </c>
      <c r="P263" s="30">
        <v>82414.12</v>
      </c>
      <c r="Q263" s="102">
        <v>329656.48</v>
      </c>
      <c r="R263" s="104"/>
      <c r="S263" s="26"/>
    </row>
    <row r="264" spans="1:19" ht="35" thickBot="1">
      <c r="A264" s="94" t="s">
        <v>44</v>
      </c>
      <c r="B264" s="94" t="s">
        <v>45</v>
      </c>
      <c r="C264" s="28" t="s">
        <v>46</v>
      </c>
      <c r="D264" s="28" t="s">
        <v>47</v>
      </c>
      <c r="E264" s="28" t="s">
        <v>48</v>
      </c>
      <c r="F264" s="28" t="s">
        <v>49</v>
      </c>
      <c r="G264" s="28" t="s">
        <v>50</v>
      </c>
      <c r="H264" s="28" t="s">
        <v>51</v>
      </c>
      <c r="I264" s="28" t="s">
        <v>52</v>
      </c>
      <c r="J264" s="28" t="s">
        <v>53</v>
      </c>
      <c r="K264" s="92" t="s">
        <v>88</v>
      </c>
      <c r="L264" s="93"/>
      <c r="M264" s="28" t="s">
        <v>55</v>
      </c>
      <c r="N264" s="28" t="s">
        <v>56</v>
      </c>
      <c r="O264" s="28" t="s">
        <v>57</v>
      </c>
      <c r="P264" s="28" t="s">
        <v>58</v>
      </c>
      <c r="Q264" s="99" t="s">
        <v>59</v>
      </c>
      <c r="R264" s="100"/>
      <c r="S264" s="101"/>
    </row>
    <row r="265" spans="1:19" ht="17">
      <c r="A265" s="108"/>
      <c r="B265" s="108"/>
      <c r="C265" s="94" t="s">
        <v>60</v>
      </c>
      <c r="D265" s="94" t="s">
        <v>61</v>
      </c>
      <c r="E265" s="94" t="s">
        <v>62</v>
      </c>
      <c r="F265" s="94" t="s">
        <v>63</v>
      </c>
      <c r="G265" s="94" t="s">
        <v>64</v>
      </c>
      <c r="H265" s="94" t="s">
        <v>65</v>
      </c>
      <c r="I265" s="94" t="s">
        <v>66</v>
      </c>
      <c r="J265" s="27" t="s">
        <v>67</v>
      </c>
      <c r="K265" s="96" t="s">
        <v>89</v>
      </c>
      <c r="L265" s="98"/>
      <c r="M265" s="94" t="s">
        <v>69</v>
      </c>
      <c r="N265" s="94" t="s">
        <v>70</v>
      </c>
      <c r="O265" s="94" t="s">
        <v>71</v>
      </c>
      <c r="P265" s="94" t="s">
        <v>72</v>
      </c>
      <c r="Q265" s="96" t="s">
        <v>73</v>
      </c>
      <c r="R265" s="97"/>
      <c r="S265" s="98"/>
    </row>
    <row r="266" spans="1:19" ht="18" thickBot="1">
      <c r="A266" s="95"/>
      <c r="B266" s="95"/>
      <c r="C266" s="95"/>
      <c r="D266" s="95"/>
      <c r="E266" s="95"/>
      <c r="F266" s="95"/>
      <c r="G266" s="95"/>
      <c r="H266" s="95"/>
      <c r="I266" s="95"/>
      <c r="J266" s="28" t="s">
        <v>74</v>
      </c>
      <c r="K266" s="99" t="s">
        <v>75</v>
      </c>
      <c r="L266" s="101"/>
      <c r="M266" s="95"/>
      <c r="N266" s="95"/>
      <c r="O266" s="95"/>
      <c r="P266" s="95"/>
      <c r="Q266" s="99"/>
      <c r="R266" s="100"/>
      <c r="S266" s="101"/>
    </row>
    <row r="267" spans="1:19" ht="18" thickBot="1">
      <c r="A267" s="29" t="s">
        <v>29</v>
      </c>
      <c r="B267" s="28" t="s">
        <v>82</v>
      </c>
      <c r="C267" s="28">
        <v>1</v>
      </c>
      <c r="D267" s="30">
        <v>2182.59</v>
      </c>
      <c r="E267" s="30">
        <v>2604.88</v>
      </c>
      <c r="F267" s="30">
        <v>4787.47</v>
      </c>
      <c r="G267" s="30">
        <v>489.06</v>
      </c>
      <c r="H267" s="30">
        <v>1000</v>
      </c>
      <c r="I267" s="28" t="s">
        <v>77</v>
      </c>
      <c r="J267" s="30">
        <v>6276.53</v>
      </c>
      <c r="K267" s="102">
        <v>75318.36</v>
      </c>
      <c r="L267" s="104"/>
      <c r="M267" s="30">
        <v>4787.47</v>
      </c>
      <c r="N267" s="30">
        <v>1595.82</v>
      </c>
      <c r="O267" s="30">
        <v>712.47</v>
      </c>
      <c r="P267" s="30">
        <v>82414.12</v>
      </c>
      <c r="Q267" s="102">
        <v>82414.12</v>
      </c>
      <c r="R267" s="103"/>
      <c r="S267" s="104"/>
    </row>
    <row r="268" spans="1:19" ht="18" thickBot="1">
      <c r="A268" s="92" t="s">
        <v>78</v>
      </c>
      <c r="B268" s="93"/>
      <c r="C268" s="28"/>
      <c r="D268" s="30">
        <v>2182.59</v>
      </c>
      <c r="E268" s="30">
        <v>2604.88</v>
      </c>
      <c r="F268" s="30">
        <v>4787.47</v>
      </c>
      <c r="G268" s="30">
        <v>489.06</v>
      </c>
      <c r="H268" s="30">
        <v>1000</v>
      </c>
      <c r="I268" s="28" t="s">
        <v>77</v>
      </c>
      <c r="J268" s="30">
        <v>6276.53</v>
      </c>
      <c r="K268" s="102">
        <v>75318.36</v>
      </c>
      <c r="L268" s="104"/>
      <c r="M268" s="30">
        <v>4787.47</v>
      </c>
      <c r="N268" s="30">
        <v>1595.82</v>
      </c>
      <c r="O268" s="30">
        <v>712.47</v>
      </c>
      <c r="P268" s="30">
        <v>82414.12</v>
      </c>
      <c r="Q268" s="102">
        <v>82414.12</v>
      </c>
      <c r="R268" s="103"/>
      <c r="S268" s="104"/>
    </row>
    <row r="269" spans="1:19" ht="35" thickBot="1">
      <c r="A269" s="94" t="s">
        <v>44</v>
      </c>
      <c r="B269" s="94" t="s">
        <v>45</v>
      </c>
      <c r="C269" s="28" t="s">
        <v>46</v>
      </c>
      <c r="D269" s="28" t="s">
        <v>47</v>
      </c>
      <c r="E269" s="28" t="s">
        <v>48</v>
      </c>
      <c r="F269" s="28" t="s">
        <v>49</v>
      </c>
      <c r="G269" s="28" t="s">
        <v>50</v>
      </c>
      <c r="H269" s="28" t="s">
        <v>51</v>
      </c>
      <c r="I269" s="28" t="s">
        <v>52</v>
      </c>
      <c r="J269" s="28" t="s">
        <v>53</v>
      </c>
      <c r="K269" s="28" t="s">
        <v>88</v>
      </c>
      <c r="L269" s="92" t="s">
        <v>55</v>
      </c>
      <c r="M269" s="93"/>
      <c r="N269" s="28" t="s">
        <v>56</v>
      </c>
      <c r="O269" s="28" t="s">
        <v>57</v>
      </c>
      <c r="P269" s="28" t="s">
        <v>58</v>
      </c>
      <c r="Q269" s="92" t="s">
        <v>59</v>
      </c>
      <c r="R269" s="93"/>
      <c r="S269" s="26"/>
    </row>
    <row r="270" spans="1:19" ht="17">
      <c r="A270" s="108"/>
      <c r="B270" s="108"/>
      <c r="C270" s="94" t="s">
        <v>60</v>
      </c>
      <c r="D270" s="94" t="s">
        <v>61</v>
      </c>
      <c r="E270" s="94" t="s">
        <v>62</v>
      </c>
      <c r="F270" s="94" t="s">
        <v>63</v>
      </c>
      <c r="G270" s="94" t="s">
        <v>64</v>
      </c>
      <c r="H270" s="94" t="s">
        <v>65</v>
      </c>
      <c r="I270" s="94" t="s">
        <v>66</v>
      </c>
      <c r="J270" s="27" t="s">
        <v>67</v>
      </c>
      <c r="K270" s="27" t="s">
        <v>89</v>
      </c>
      <c r="L270" s="96" t="s">
        <v>69</v>
      </c>
      <c r="M270" s="98"/>
      <c r="N270" s="94" t="s">
        <v>70</v>
      </c>
      <c r="O270" s="94" t="s">
        <v>71</v>
      </c>
      <c r="P270" s="94" t="s">
        <v>72</v>
      </c>
      <c r="Q270" s="96" t="s">
        <v>73</v>
      </c>
      <c r="R270" s="98"/>
      <c r="S270" s="105"/>
    </row>
    <row r="271" spans="1:19" ht="18" thickBot="1">
      <c r="A271" s="95"/>
      <c r="B271" s="95"/>
      <c r="C271" s="95"/>
      <c r="D271" s="95"/>
      <c r="E271" s="95"/>
      <c r="F271" s="95"/>
      <c r="G271" s="95"/>
      <c r="H271" s="95"/>
      <c r="I271" s="95"/>
      <c r="J271" s="28" t="s">
        <v>74</v>
      </c>
      <c r="K271" s="28" t="s">
        <v>75</v>
      </c>
      <c r="L271" s="99"/>
      <c r="M271" s="101"/>
      <c r="N271" s="95"/>
      <c r="O271" s="95"/>
      <c r="P271" s="95"/>
      <c r="Q271" s="99"/>
      <c r="R271" s="101"/>
      <c r="S271" s="105"/>
    </row>
    <row r="272" spans="1:19" ht="18" thickBot="1">
      <c r="A272" s="29" t="s">
        <v>30</v>
      </c>
      <c r="B272" s="28" t="s">
        <v>82</v>
      </c>
      <c r="C272" s="28">
        <v>15</v>
      </c>
      <c r="D272" s="30">
        <v>2182.59</v>
      </c>
      <c r="E272" s="30">
        <v>2604.88</v>
      </c>
      <c r="F272" s="30">
        <v>4787.47</v>
      </c>
      <c r="G272" s="30">
        <v>489.06</v>
      </c>
      <c r="H272" s="30">
        <v>1000</v>
      </c>
      <c r="I272" s="28" t="s">
        <v>77</v>
      </c>
      <c r="J272" s="30">
        <v>6276.53</v>
      </c>
      <c r="K272" s="30">
        <v>75318.36</v>
      </c>
      <c r="L272" s="102">
        <v>4787.47</v>
      </c>
      <c r="M272" s="104"/>
      <c r="N272" s="30">
        <v>1595.82</v>
      </c>
      <c r="O272" s="30">
        <v>712.47</v>
      </c>
      <c r="P272" s="30">
        <v>82414.12</v>
      </c>
      <c r="Q272" s="102">
        <v>1236211.8</v>
      </c>
      <c r="R272" s="104"/>
      <c r="S272" s="26"/>
    </row>
    <row r="273" spans="1:19" ht="18" thickBot="1">
      <c r="A273" s="106" t="s">
        <v>78</v>
      </c>
      <c r="B273" s="107"/>
      <c r="C273" s="28"/>
      <c r="D273" s="30">
        <v>2182.59</v>
      </c>
      <c r="E273" s="30">
        <v>2604.88</v>
      </c>
      <c r="F273" s="30">
        <v>4787.47</v>
      </c>
      <c r="G273" s="30">
        <v>489.06</v>
      </c>
      <c r="H273" s="30">
        <v>1000</v>
      </c>
      <c r="I273" s="28" t="s">
        <v>77</v>
      </c>
      <c r="J273" s="30">
        <v>6276.53</v>
      </c>
      <c r="K273" s="30">
        <v>75318.36</v>
      </c>
      <c r="L273" s="102">
        <v>4787.47</v>
      </c>
      <c r="M273" s="104"/>
      <c r="N273" s="30">
        <v>1595.82</v>
      </c>
      <c r="O273" s="30">
        <v>712.47</v>
      </c>
      <c r="P273" s="30">
        <v>82414.12</v>
      </c>
      <c r="Q273" s="102">
        <v>1236211.8</v>
      </c>
      <c r="R273" s="104"/>
      <c r="S273" s="26"/>
    </row>
    <row r="274" spans="1:19">
      <c r="A274" s="2"/>
      <c r="B274" s="2"/>
      <c r="C274" s="2"/>
      <c r="D274" s="2"/>
      <c r="E274" s="2"/>
      <c r="F274" s="2"/>
      <c r="G274" s="2"/>
      <c r="H274" s="2"/>
      <c r="I274" s="2"/>
      <c r="J274" s="2"/>
      <c r="K274" s="2"/>
      <c r="L274" s="2"/>
      <c r="M274" s="2"/>
      <c r="N274" s="2"/>
      <c r="O274" s="2"/>
      <c r="P274" s="2"/>
      <c r="Q274" s="2"/>
      <c r="R274" s="2"/>
      <c r="S274" s="2"/>
    </row>
    <row r="275" spans="1:19">
      <c r="A275" s="33"/>
    </row>
    <row r="276" spans="1:19">
      <c r="A276" s="33"/>
    </row>
    <row r="277" spans="1:19">
      <c r="A277" s="33"/>
    </row>
    <row r="278" spans="1:19">
      <c r="A278" s="16" t="s">
        <v>98</v>
      </c>
    </row>
    <row r="279" spans="1:19" ht="17" thickBot="1">
      <c r="A279" s="16"/>
    </row>
    <row r="280" spans="1:19" ht="35" thickBot="1">
      <c r="A280" s="94" t="s">
        <v>44</v>
      </c>
      <c r="B280" s="94" t="s">
        <v>45</v>
      </c>
      <c r="C280" s="23" t="s">
        <v>46</v>
      </c>
      <c r="D280" s="23" t="s">
        <v>47</v>
      </c>
      <c r="E280" s="23" t="s">
        <v>48</v>
      </c>
      <c r="F280" s="23" t="s">
        <v>49</v>
      </c>
      <c r="G280" s="23" t="s">
        <v>50</v>
      </c>
      <c r="H280" s="23" t="s">
        <v>51</v>
      </c>
      <c r="I280" s="23" t="s">
        <v>52</v>
      </c>
      <c r="J280" s="23" t="s">
        <v>53</v>
      </c>
      <c r="K280" s="23" t="s">
        <v>88</v>
      </c>
      <c r="L280" s="23" t="s">
        <v>55</v>
      </c>
      <c r="M280" s="23" t="s">
        <v>56</v>
      </c>
      <c r="N280" s="23" t="s">
        <v>57</v>
      </c>
      <c r="O280" s="23" t="s">
        <v>58</v>
      </c>
      <c r="P280" s="25" t="s">
        <v>59</v>
      </c>
      <c r="Q280" s="26"/>
      <c r="R280" s="26"/>
    </row>
    <row r="281" spans="1:19" ht="17">
      <c r="A281" s="108"/>
      <c r="B281" s="108"/>
      <c r="C281" s="94" t="s">
        <v>60</v>
      </c>
      <c r="D281" s="94" t="s">
        <v>61</v>
      </c>
      <c r="E281" s="94" t="s">
        <v>62</v>
      </c>
      <c r="F281" s="94" t="s">
        <v>63</v>
      </c>
      <c r="G281" s="94" t="s">
        <v>64</v>
      </c>
      <c r="H281" s="94" t="s">
        <v>65</v>
      </c>
      <c r="I281" s="94" t="s">
        <v>66</v>
      </c>
      <c r="J281" s="27" t="s">
        <v>67</v>
      </c>
      <c r="K281" s="27" t="s">
        <v>89</v>
      </c>
      <c r="L281" s="94" t="s">
        <v>69</v>
      </c>
      <c r="M281" s="94" t="s">
        <v>70</v>
      </c>
      <c r="N281" s="94" t="s">
        <v>71</v>
      </c>
      <c r="O281" s="94" t="s">
        <v>72</v>
      </c>
      <c r="P281" s="94" t="s">
        <v>73</v>
      </c>
      <c r="Q281" s="105"/>
      <c r="R281" s="109"/>
    </row>
    <row r="282" spans="1:19" ht="18" thickBot="1">
      <c r="A282" s="95"/>
      <c r="B282" s="95"/>
      <c r="C282" s="95"/>
      <c r="D282" s="95"/>
      <c r="E282" s="95"/>
      <c r="F282" s="95"/>
      <c r="G282" s="95"/>
      <c r="H282" s="95"/>
      <c r="I282" s="95"/>
      <c r="J282" s="28" t="s">
        <v>74</v>
      </c>
      <c r="K282" s="28" t="s">
        <v>75</v>
      </c>
      <c r="L282" s="95"/>
      <c r="M282" s="95"/>
      <c r="N282" s="95"/>
      <c r="O282" s="95"/>
      <c r="P282" s="95"/>
      <c r="Q282" s="105"/>
      <c r="R282" s="109"/>
    </row>
    <row r="283" spans="1:19" ht="18" thickBot="1">
      <c r="A283" s="29" t="s">
        <v>31</v>
      </c>
      <c r="B283" s="28" t="s">
        <v>82</v>
      </c>
      <c r="C283" s="28">
        <v>1</v>
      </c>
      <c r="D283" s="30">
        <v>2182.59</v>
      </c>
      <c r="E283" s="30">
        <v>2604.88</v>
      </c>
      <c r="F283" s="30">
        <v>4787.47</v>
      </c>
      <c r="G283" s="30">
        <v>489.06</v>
      </c>
      <c r="H283" s="30">
        <v>1000</v>
      </c>
      <c r="I283" s="28" t="s">
        <v>77</v>
      </c>
      <c r="J283" s="30">
        <v>6276.53</v>
      </c>
      <c r="K283" s="30">
        <v>75318.36</v>
      </c>
      <c r="L283" s="30">
        <v>4787.47</v>
      </c>
      <c r="M283" s="30">
        <v>1595.82</v>
      </c>
      <c r="N283" s="30">
        <v>712.47</v>
      </c>
      <c r="O283" s="30">
        <v>82414.12</v>
      </c>
      <c r="P283" s="31">
        <v>82414.12</v>
      </c>
      <c r="Q283" s="26"/>
      <c r="R283" s="26"/>
    </row>
    <row r="284" spans="1:19" ht="18" thickBot="1">
      <c r="A284" s="106" t="s">
        <v>78</v>
      </c>
      <c r="B284" s="107"/>
      <c r="C284" s="28"/>
      <c r="D284" s="30">
        <v>2182.59</v>
      </c>
      <c r="E284" s="30">
        <v>2604.88</v>
      </c>
      <c r="F284" s="30">
        <v>4787.47</v>
      </c>
      <c r="G284" s="30">
        <v>489.06</v>
      </c>
      <c r="H284" s="30">
        <v>1000</v>
      </c>
      <c r="I284" s="28" t="s">
        <v>77</v>
      </c>
      <c r="J284" s="30">
        <v>6276.53</v>
      </c>
      <c r="K284" s="30">
        <v>75318.36</v>
      </c>
      <c r="L284" s="30">
        <v>4787.47</v>
      </c>
      <c r="M284" s="30">
        <v>1595.82</v>
      </c>
      <c r="N284" s="30">
        <v>712.47</v>
      </c>
      <c r="O284" s="30">
        <v>82414.12</v>
      </c>
      <c r="P284" s="31">
        <v>82414.12</v>
      </c>
      <c r="Q284" s="26"/>
      <c r="R284" s="26"/>
    </row>
    <row r="285" spans="1:19" ht="35" thickBot="1">
      <c r="A285" s="94" t="s">
        <v>44</v>
      </c>
      <c r="B285" s="94" t="s">
        <v>45</v>
      </c>
      <c r="C285" s="28" t="s">
        <v>46</v>
      </c>
      <c r="D285" s="28" t="s">
        <v>47</v>
      </c>
      <c r="E285" s="28" t="s">
        <v>48</v>
      </c>
      <c r="F285" s="28" t="s">
        <v>49</v>
      </c>
      <c r="G285" s="28" t="s">
        <v>50</v>
      </c>
      <c r="H285" s="28" t="s">
        <v>51</v>
      </c>
      <c r="I285" s="28" t="s">
        <v>52</v>
      </c>
      <c r="J285" s="28" t="s">
        <v>53</v>
      </c>
      <c r="K285" s="28" t="s">
        <v>88</v>
      </c>
      <c r="L285" s="28" t="s">
        <v>55</v>
      </c>
      <c r="M285" s="28" t="s">
        <v>56</v>
      </c>
      <c r="N285" s="28" t="s">
        <v>57</v>
      </c>
      <c r="O285" s="28" t="s">
        <v>58</v>
      </c>
      <c r="P285" s="99" t="s">
        <v>59</v>
      </c>
      <c r="Q285" s="101"/>
      <c r="R285" s="26"/>
    </row>
    <row r="286" spans="1:19" ht="17">
      <c r="A286" s="108"/>
      <c r="B286" s="108"/>
      <c r="C286" s="94" t="s">
        <v>60</v>
      </c>
      <c r="D286" s="94" t="s">
        <v>61</v>
      </c>
      <c r="E286" s="94" t="s">
        <v>62</v>
      </c>
      <c r="F286" s="94" t="s">
        <v>63</v>
      </c>
      <c r="G286" s="94" t="s">
        <v>64</v>
      </c>
      <c r="H286" s="94" t="s">
        <v>65</v>
      </c>
      <c r="I286" s="94" t="s">
        <v>66</v>
      </c>
      <c r="J286" s="27" t="s">
        <v>67</v>
      </c>
      <c r="K286" s="27" t="s">
        <v>89</v>
      </c>
      <c r="L286" s="94" t="s">
        <v>69</v>
      </c>
      <c r="M286" s="94" t="s">
        <v>70</v>
      </c>
      <c r="N286" s="94" t="s">
        <v>71</v>
      </c>
      <c r="O286" s="94" t="s">
        <v>72</v>
      </c>
      <c r="P286" s="96" t="s">
        <v>73</v>
      </c>
      <c r="Q286" s="98"/>
      <c r="R286" s="105"/>
    </row>
    <row r="287" spans="1:19" ht="18" thickBot="1">
      <c r="A287" s="95"/>
      <c r="B287" s="95"/>
      <c r="C287" s="95"/>
      <c r="D287" s="95"/>
      <c r="E287" s="95"/>
      <c r="F287" s="95"/>
      <c r="G287" s="95"/>
      <c r="H287" s="95"/>
      <c r="I287" s="95"/>
      <c r="J287" s="28" t="s">
        <v>74</v>
      </c>
      <c r="K287" s="28" t="s">
        <v>75</v>
      </c>
      <c r="L287" s="95"/>
      <c r="M287" s="95"/>
      <c r="N287" s="95"/>
      <c r="O287" s="95"/>
      <c r="P287" s="99"/>
      <c r="Q287" s="101"/>
      <c r="R287" s="105"/>
    </row>
    <row r="288" spans="1:19" ht="18" thickBot="1">
      <c r="A288" s="29" t="s">
        <v>32</v>
      </c>
      <c r="B288" s="28" t="s">
        <v>82</v>
      </c>
      <c r="C288" s="28">
        <v>1</v>
      </c>
      <c r="D288" s="30">
        <v>2182.59</v>
      </c>
      <c r="E288" s="30">
        <v>2604.88</v>
      </c>
      <c r="F288" s="30">
        <v>4787.47</v>
      </c>
      <c r="G288" s="30">
        <v>489.06</v>
      </c>
      <c r="H288" s="30">
        <v>1000</v>
      </c>
      <c r="I288" s="28" t="s">
        <v>77</v>
      </c>
      <c r="J288" s="30">
        <v>6276.53</v>
      </c>
      <c r="K288" s="30">
        <v>75318.36</v>
      </c>
      <c r="L288" s="30">
        <v>4787.47</v>
      </c>
      <c r="M288" s="30">
        <v>1595.82</v>
      </c>
      <c r="N288" s="30">
        <v>712.47</v>
      </c>
      <c r="O288" s="30">
        <v>82414.12</v>
      </c>
      <c r="P288" s="102">
        <v>82414.12</v>
      </c>
      <c r="Q288" s="104"/>
      <c r="R288" s="26"/>
    </row>
    <row r="289" spans="1:18" ht="18" thickBot="1">
      <c r="A289" s="106" t="s">
        <v>78</v>
      </c>
      <c r="B289" s="107"/>
      <c r="C289" s="28"/>
      <c r="D289" s="30">
        <v>2182.59</v>
      </c>
      <c r="E289" s="30">
        <v>2604.88</v>
      </c>
      <c r="F289" s="30">
        <v>4787.47</v>
      </c>
      <c r="G289" s="30">
        <v>489.06</v>
      </c>
      <c r="H289" s="30">
        <v>1000</v>
      </c>
      <c r="I289" s="28" t="s">
        <v>77</v>
      </c>
      <c r="J289" s="30">
        <v>6276.53</v>
      </c>
      <c r="K289" s="30">
        <v>75318.36</v>
      </c>
      <c r="L289" s="30">
        <v>4787.47</v>
      </c>
      <c r="M289" s="30">
        <v>1595.82</v>
      </c>
      <c r="N289" s="30">
        <v>712.47</v>
      </c>
      <c r="O289" s="30">
        <v>82414.12</v>
      </c>
      <c r="P289" s="102">
        <v>82414.12</v>
      </c>
      <c r="Q289" s="104"/>
      <c r="R289" s="26"/>
    </row>
    <row r="290" spans="1:18" ht="35" thickBot="1">
      <c r="A290" s="94" t="s">
        <v>44</v>
      </c>
      <c r="B290" s="94" t="s">
        <v>45</v>
      </c>
      <c r="C290" s="28" t="s">
        <v>46</v>
      </c>
      <c r="D290" s="28" t="s">
        <v>47</v>
      </c>
      <c r="E290" s="28" t="s">
        <v>48</v>
      </c>
      <c r="F290" s="28" t="s">
        <v>49</v>
      </c>
      <c r="G290" s="28" t="s">
        <v>50</v>
      </c>
      <c r="H290" s="28" t="s">
        <v>51</v>
      </c>
      <c r="I290" s="28" t="s">
        <v>52</v>
      </c>
      <c r="J290" s="28" t="s">
        <v>53</v>
      </c>
      <c r="K290" s="28" t="s">
        <v>88</v>
      </c>
      <c r="L290" s="28" t="s">
        <v>55</v>
      </c>
      <c r="M290" s="28" t="s">
        <v>56</v>
      </c>
      <c r="N290" s="28" t="s">
        <v>57</v>
      </c>
      <c r="O290" s="28" t="s">
        <v>58</v>
      </c>
      <c r="P290" s="99" t="s">
        <v>59</v>
      </c>
      <c r="Q290" s="100"/>
      <c r="R290" s="101"/>
    </row>
    <row r="291" spans="1:18" ht="17">
      <c r="A291" s="108"/>
      <c r="B291" s="108"/>
      <c r="C291" s="94" t="s">
        <v>60</v>
      </c>
      <c r="D291" s="94" t="s">
        <v>61</v>
      </c>
      <c r="E291" s="94" t="s">
        <v>62</v>
      </c>
      <c r="F291" s="94" t="s">
        <v>63</v>
      </c>
      <c r="G291" s="94" t="s">
        <v>64</v>
      </c>
      <c r="H291" s="94" t="s">
        <v>65</v>
      </c>
      <c r="I291" s="94" t="s">
        <v>66</v>
      </c>
      <c r="J291" s="27" t="s">
        <v>67</v>
      </c>
      <c r="K291" s="27" t="s">
        <v>89</v>
      </c>
      <c r="L291" s="94" t="s">
        <v>69</v>
      </c>
      <c r="M291" s="94" t="s">
        <v>70</v>
      </c>
      <c r="N291" s="94" t="s">
        <v>71</v>
      </c>
      <c r="O291" s="94" t="s">
        <v>72</v>
      </c>
      <c r="P291" s="96" t="s">
        <v>73</v>
      </c>
      <c r="Q291" s="97"/>
      <c r="R291" s="98"/>
    </row>
    <row r="292" spans="1:18" ht="18" thickBot="1">
      <c r="A292" s="95"/>
      <c r="B292" s="95"/>
      <c r="C292" s="95"/>
      <c r="D292" s="95"/>
      <c r="E292" s="95"/>
      <c r="F292" s="95"/>
      <c r="G292" s="95"/>
      <c r="H292" s="95"/>
      <c r="I292" s="95"/>
      <c r="J292" s="28" t="s">
        <v>74</v>
      </c>
      <c r="K292" s="28" t="s">
        <v>75</v>
      </c>
      <c r="L292" s="95"/>
      <c r="M292" s="95"/>
      <c r="N292" s="95"/>
      <c r="O292" s="95"/>
      <c r="P292" s="99"/>
      <c r="Q292" s="100"/>
      <c r="R292" s="101"/>
    </row>
    <row r="293" spans="1:18" ht="18" thickBot="1">
      <c r="A293" s="29" t="s">
        <v>92</v>
      </c>
      <c r="B293" s="28" t="s">
        <v>82</v>
      </c>
      <c r="C293" s="28">
        <v>1</v>
      </c>
      <c r="D293" s="30">
        <v>2182.59</v>
      </c>
      <c r="E293" s="30">
        <v>2604.88</v>
      </c>
      <c r="F293" s="30">
        <v>4787.47</v>
      </c>
      <c r="G293" s="30">
        <v>489.06</v>
      </c>
      <c r="H293" s="30">
        <v>1000</v>
      </c>
      <c r="I293" s="28" t="s">
        <v>77</v>
      </c>
      <c r="J293" s="30">
        <v>6276.53</v>
      </c>
      <c r="K293" s="30">
        <v>75318.36</v>
      </c>
      <c r="L293" s="30">
        <v>4787.47</v>
      </c>
      <c r="M293" s="30">
        <v>1595.82</v>
      </c>
      <c r="N293" s="30">
        <v>712.47</v>
      </c>
      <c r="O293" s="30">
        <v>82414.12</v>
      </c>
      <c r="P293" s="102">
        <v>82414.12</v>
      </c>
      <c r="Q293" s="103"/>
      <c r="R293" s="104"/>
    </row>
    <row r="294" spans="1:18" ht="18" thickBot="1">
      <c r="A294" s="92" t="s">
        <v>78</v>
      </c>
      <c r="B294" s="93"/>
      <c r="C294" s="28"/>
      <c r="D294" s="30">
        <v>2182.59</v>
      </c>
      <c r="E294" s="30">
        <v>2604.88</v>
      </c>
      <c r="F294" s="30">
        <v>4787.47</v>
      </c>
      <c r="G294" s="30">
        <v>489.06</v>
      </c>
      <c r="H294" s="30">
        <v>1000</v>
      </c>
      <c r="I294" s="28" t="s">
        <v>77</v>
      </c>
      <c r="J294" s="30">
        <v>6276.53</v>
      </c>
      <c r="K294" s="30">
        <v>75318.36</v>
      </c>
      <c r="L294" s="30">
        <v>4787.47</v>
      </c>
      <c r="M294" s="30">
        <v>1595.82</v>
      </c>
      <c r="N294" s="30">
        <v>712.47</v>
      </c>
      <c r="O294" s="30">
        <v>82414.12</v>
      </c>
      <c r="P294" s="102">
        <v>82414.12</v>
      </c>
      <c r="Q294" s="103"/>
      <c r="R294" s="104"/>
    </row>
    <row r="295" spans="1:18">
      <c r="A295" s="32"/>
    </row>
    <row r="296" spans="1:18">
      <c r="A296" s="16" t="s">
        <v>98</v>
      </c>
    </row>
    <row r="297" spans="1:18" ht="17" thickBot="1">
      <c r="A297" s="16"/>
    </row>
    <row r="298" spans="1:18" ht="35" thickBot="1">
      <c r="A298" s="94" t="s">
        <v>44</v>
      </c>
      <c r="B298" s="94" t="s">
        <v>45</v>
      </c>
      <c r="C298" s="23" t="s">
        <v>46</v>
      </c>
      <c r="D298" s="23" t="s">
        <v>47</v>
      </c>
      <c r="E298" s="23" t="s">
        <v>48</v>
      </c>
      <c r="F298" s="23" t="s">
        <v>49</v>
      </c>
      <c r="G298" s="23" t="s">
        <v>50</v>
      </c>
      <c r="H298" s="23" t="s">
        <v>51</v>
      </c>
      <c r="I298" s="23" t="s">
        <v>52</v>
      </c>
      <c r="J298" s="23" t="s">
        <v>53</v>
      </c>
      <c r="K298" s="23" t="s">
        <v>88</v>
      </c>
      <c r="L298" s="23" t="s">
        <v>55</v>
      </c>
      <c r="M298" s="23" t="s">
        <v>56</v>
      </c>
      <c r="N298" s="23" t="s">
        <v>57</v>
      </c>
      <c r="O298" s="23" t="s">
        <v>58</v>
      </c>
      <c r="P298" s="25" t="s">
        <v>59</v>
      </c>
      <c r="Q298" s="26"/>
      <c r="R298" s="26"/>
    </row>
    <row r="299" spans="1:18" ht="17">
      <c r="A299" s="108"/>
      <c r="B299" s="108"/>
      <c r="C299" s="94" t="s">
        <v>60</v>
      </c>
      <c r="D299" s="94" t="s">
        <v>61</v>
      </c>
      <c r="E299" s="94" t="s">
        <v>62</v>
      </c>
      <c r="F299" s="94" t="s">
        <v>63</v>
      </c>
      <c r="G299" s="94" t="s">
        <v>64</v>
      </c>
      <c r="H299" s="94" t="s">
        <v>65</v>
      </c>
      <c r="I299" s="94" t="s">
        <v>66</v>
      </c>
      <c r="J299" s="27" t="s">
        <v>67</v>
      </c>
      <c r="K299" s="27" t="s">
        <v>89</v>
      </c>
      <c r="L299" s="94" t="s">
        <v>69</v>
      </c>
      <c r="M299" s="94" t="s">
        <v>70</v>
      </c>
      <c r="N299" s="94" t="s">
        <v>71</v>
      </c>
      <c r="O299" s="94" t="s">
        <v>72</v>
      </c>
      <c r="P299" s="94" t="s">
        <v>73</v>
      </c>
      <c r="Q299" s="105"/>
      <c r="R299" s="109"/>
    </row>
    <row r="300" spans="1:18" ht="18" thickBot="1">
      <c r="A300" s="95"/>
      <c r="B300" s="95"/>
      <c r="C300" s="95"/>
      <c r="D300" s="95"/>
      <c r="E300" s="95"/>
      <c r="F300" s="95"/>
      <c r="G300" s="95"/>
      <c r="H300" s="95"/>
      <c r="I300" s="95"/>
      <c r="J300" s="28" t="s">
        <v>74</v>
      </c>
      <c r="K300" s="28" t="s">
        <v>75</v>
      </c>
      <c r="L300" s="95"/>
      <c r="M300" s="95"/>
      <c r="N300" s="95"/>
      <c r="O300" s="95"/>
      <c r="P300" s="95"/>
      <c r="Q300" s="105"/>
      <c r="R300" s="109"/>
    </row>
    <row r="301" spans="1:18" ht="18" thickBot="1">
      <c r="A301" s="29" t="s">
        <v>34</v>
      </c>
      <c r="B301" s="28" t="s">
        <v>82</v>
      </c>
      <c r="C301" s="28">
        <v>1</v>
      </c>
      <c r="D301" s="30">
        <v>2182.59</v>
      </c>
      <c r="E301" s="30">
        <v>2604.88</v>
      </c>
      <c r="F301" s="30">
        <v>4787.47</v>
      </c>
      <c r="G301" s="30">
        <v>489.06</v>
      </c>
      <c r="H301" s="30">
        <v>1000</v>
      </c>
      <c r="I301" s="28" t="s">
        <v>77</v>
      </c>
      <c r="J301" s="30">
        <v>6276.53</v>
      </c>
      <c r="K301" s="30">
        <v>75318.36</v>
      </c>
      <c r="L301" s="30">
        <v>4787.47</v>
      </c>
      <c r="M301" s="30">
        <v>1595.82</v>
      </c>
      <c r="N301" s="30">
        <v>712.47</v>
      </c>
      <c r="O301" s="30">
        <v>82414.12</v>
      </c>
      <c r="P301" s="31">
        <v>82414.12</v>
      </c>
      <c r="Q301" s="26"/>
      <c r="R301" s="26"/>
    </row>
    <row r="302" spans="1:18" ht="18" thickBot="1">
      <c r="A302" s="106" t="s">
        <v>78</v>
      </c>
      <c r="B302" s="107"/>
      <c r="C302" s="28"/>
      <c r="D302" s="30">
        <v>2182.59</v>
      </c>
      <c r="E302" s="30">
        <v>2604.88</v>
      </c>
      <c r="F302" s="30">
        <v>4787.47</v>
      </c>
      <c r="G302" s="30">
        <v>489.06</v>
      </c>
      <c r="H302" s="30">
        <v>1000</v>
      </c>
      <c r="I302" s="28" t="s">
        <v>77</v>
      </c>
      <c r="J302" s="30">
        <v>6276.53</v>
      </c>
      <c r="K302" s="30">
        <v>75318.36</v>
      </c>
      <c r="L302" s="30">
        <v>4787.47</v>
      </c>
      <c r="M302" s="30">
        <v>1595.82</v>
      </c>
      <c r="N302" s="30">
        <v>712.47</v>
      </c>
      <c r="O302" s="30">
        <v>82414.12</v>
      </c>
      <c r="P302" s="31">
        <v>82414.12</v>
      </c>
      <c r="Q302" s="26"/>
      <c r="R302" s="26"/>
    </row>
    <row r="303" spans="1:18" ht="35" thickBot="1">
      <c r="A303" s="94" t="s">
        <v>44</v>
      </c>
      <c r="B303" s="94" t="s">
        <v>45</v>
      </c>
      <c r="C303" s="28" t="s">
        <v>46</v>
      </c>
      <c r="D303" s="28" t="s">
        <v>47</v>
      </c>
      <c r="E303" s="28" t="s">
        <v>48</v>
      </c>
      <c r="F303" s="28" t="s">
        <v>49</v>
      </c>
      <c r="G303" s="28" t="s">
        <v>50</v>
      </c>
      <c r="H303" s="28" t="s">
        <v>51</v>
      </c>
      <c r="I303" s="28" t="s">
        <v>52</v>
      </c>
      <c r="J303" s="28" t="s">
        <v>53</v>
      </c>
      <c r="K303" s="28" t="s">
        <v>88</v>
      </c>
      <c r="L303" s="28" t="s">
        <v>55</v>
      </c>
      <c r="M303" s="28" t="s">
        <v>56</v>
      </c>
      <c r="N303" s="28" t="s">
        <v>57</v>
      </c>
      <c r="O303" s="28" t="s">
        <v>58</v>
      </c>
      <c r="P303" s="99" t="s">
        <v>59</v>
      </c>
      <c r="Q303" s="101"/>
      <c r="R303" s="26"/>
    </row>
    <row r="304" spans="1:18" ht="17">
      <c r="A304" s="108"/>
      <c r="B304" s="108"/>
      <c r="C304" s="94" t="s">
        <v>60</v>
      </c>
      <c r="D304" s="94" t="s">
        <v>61</v>
      </c>
      <c r="E304" s="94" t="s">
        <v>62</v>
      </c>
      <c r="F304" s="94" t="s">
        <v>63</v>
      </c>
      <c r="G304" s="94" t="s">
        <v>64</v>
      </c>
      <c r="H304" s="94" t="s">
        <v>65</v>
      </c>
      <c r="I304" s="94" t="s">
        <v>66</v>
      </c>
      <c r="J304" s="27" t="s">
        <v>67</v>
      </c>
      <c r="K304" s="27" t="s">
        <v>89</v>
      </c>
      <c r="L304" s="94" t="s">
        <v>69</v>
      </c>
      <c r="M304" s="94" t="s">
        <v>70</v>
      </c>
      <c r="N304" s="94" t="s">
        <v>71</v>
      </c>
      <c r="O304" s="94" t="s">
        <v>72</v>
      </c>
      <c r="P304" s="96" t="s">
        <v>73</v>
      </c>
      <c r="Q304" s="98"/>
      <c r="R304" s="105"/>
    </row>
    <row r="305" spans="1:18" ht="18" thickBot="1">
      <c r="A305" s="95"/>
      <c r="B305" s="95"/>
      <c r="C305" s="95"/>
      <c r="D305" s="95"/>
      <c r="E305" s="95"/>
      <c r="F305" s="95"/>
      <c r="G305" s="95"/>
      <c r="H305" s="95"/>
      <c r="I305" s="95"/>
      <c r="J305" s="28" t="s">
        <v>74</v>
      </c>
      <c r="K305" s="28" t="s">
        <v>75</v>
      </c>
      <c r="L305" s="95"/>
      <c r="M305" s="95"/>
      <c r="N305" s="95"/>
      <c r="O305" s="95"/>
      <c r="P305" s="99"/>
      <c r="Q305" s="101"/>
      <c r="R305" s="105"/>
    </row>
    <row r="306" spans="1:18" ht="18" thickBot="1">
      <c r="A306" s="29" t="s">
        <v>35</v>
      </c>
      <c r="B306" s="28" t="s">
        <v>82</v>
      </c>
      <c r="C306" s="28">
        <v>1</v>
      </c>
      <c r="D306" s="30">
        <v>2182.59</v>
      </c>
      <c r="E306" s="30">
        <v>2604.88</v>
      </c>
      <c r="F306" s="30">
        <v>4787.47</v>
      </c>
      <c r="G306" s="30">
        <v>489.06</v>
      </c>
      <c r="H306" s="30">
        <v>1000</v>
      </c>
      <c r="I306" s="28" t="s">
        <v>77</v>
      </c>
      <c r="J306" s="30">
        <v>6276.53</v>
      </c>
      <c r="K306" s="30">
        <v>75318.36</v>
      </c>
      <c r="L306" s="30">
        <v>4787.47</v>
      </c>
      <c r="M306" s="30">
        <v>1595.82</v>
      </c>
      <c r="N306" s="30">
        <v>712.47</v>
      </c>
      <c r="O306" s="30">
        <v>82414.12</v>
      </c>
      <c r="P306" s="102">
        <v>82414.12</v>
      </c>
      <c r="Q306" s="104"/>
      <c r="R306" s="26"/>
    </row>
    <row r="307" spans="1:18" ht="18" thickBot="1">
      <c r="A307" s="106" t="s">
        <v>78</v>
      </c>
      <c r="B307" s="107"/>
      <c r="C307" s="28"/>
      <c r="D307" s="30">
        <v>2182.59</v>
      </c>
      <c r="E307" s="30">
        <v>2604.88</v>
      </c>
      <c r="F307" s="30">
        <v>4787.47</v>
      </c>
      <c r="G307" s="30">
        <v>489.06</v>
      </c>
      <c r="H307" s="30">
        <v>1000</v>
      </c>
      <c r="I307" s="28" t="s">
        <v>77</v>
      </c>
      <c r="J307" s="30">
        <v>6276.53</v>
      </c>
      <c r="K307" s="30">
        <v>75318.36</v>
      </c>
      <c r="L307" s="30">
        <v>4787.47</v>
      </c>
      <c r="M307" s="30">
        <v>1595.82</v>
      </c>
      <c r="N307" s="30">
        <v>712.47</v>
      </c>
      <c r="O307" s="30">
        <v>82414.12</v>
      </c>
      <c r="P307" s="102">
        <v>82414.12</v>
      </c>
      <c r="Q307" s="104"/>
      <c r="R307" s="26"/>
    </row>
    <row r="308" spans="1:18" ht="35" thickBot="1">
      <c r="A308" s="94" t="s">
        <v>44</v>
      </c>
      <c r="B308" s="94" t="s">
        <v>45</v>
      </c>
      <c r="C308" s="28" t="s">
        <v>46</v>
      </c>
      <c r="D308" s="28" t="s">
        <v>47</v>
      </c>
      <c r="E308" s="28" t="s">
        <v>48</v>
      </c>
      <c r="F308" s="28" t="s">
        <v>49</v>
      </c>
      <c r="G308" s="28" t="s">
        <v>50</v>
      </c>
      <c r="H308" s="28" t="s">
        <v>51</v>
      </c>
      <c r="I308" s="28" t="s">
        <v>52</v>
      </c>
      <c r="J308" s="28" t="s">
        <v>53</v>
      </c>
      <c r="K308" s="28" t="s">
        <v>88</v>
      </c>
      <c r="L308" s="28" t="s">
        <v>55</v>
      </c>
      <c r="M308" s="28" t="s">
        <v>56</v>
      </c>
      <c r="N308" s="28" t="s">
        <v>57</v>
      </c>
      <c r="O308" s="28" t="s">
        <v>58</v>
      </c>
      <c r="P308" s="99" t="s">
        <v>59</v>
      </c>
      <c r="Q308" s="100"/>
      <c r="R308" s="101"/>
    </row>
    <row r="309" spans="1:18" ht="17">
      <c r="A309" s="108"/>
      <c r="B309" s="108"/>
      <c r="C309" s="94" t="s">
        <v>60</v>
      </c>
      <c r="D309" s="94" t="s">
        <v>61</v>
      </c>
      <c r="E309" s="94" t="s">
        <v>62</v>
      </c>
      <c r="F309" s="94" t="s">
        <v>63</v>
      </c>
      <c r="G309" s="94" t="s">
        <v>64</v>
      </c>
      <c r="H309" s="94" t="s">
        <v>65</v>
      </c>
      <c r="I309" s="94" t="s">
        <v>66</v>
      </c>
      <c r="J309" s="27" t="s">
        <v>67</v>
      </c>
      <c r="K309" s="27" t="s">
        <v>89</v>
      </c>
      <c r="L309" s="94" t="s">
        <v>69</v>
      </c>
      <c r="M309" s="94" t="s">
        <v>70</v>
      </c>
      <c r="N309" s="94" t="s">
        <v>71</v>
      </c>
      <c r="O309" s="94" t="s">
        <v>72</v>
      </c>
      <c r="P309" s="96" t="s">
        <v>73</v>
      </c>
      <c r="Q309" s="97"/>
      <c r="R309" s="98"/>
    </row>
    <row r="310" spans="1:18" ht="18" thickBot="1">
      <c r="A310" s="95"/>
      <c r="B310" s="95"/>
      <c r="C310" s="95"/>
      <c r="D310" s="95"/>
      <c r="E310" s="95"/>
      <c r="F310" s="95"/>
      <c r="G310" s="95"/>
      <c r="H310" s="95"/>
      <c r="I310" s="95"/>
      <c r="J310" s="28" t="s">
        <v>74</v>
      </c>
      <c r="K310" s="28" t="s">
        <v>75</v>
      </c>
      <c r="L310" s="95"/>
      <c r="M310" s="95"/>
      <c r="N310" s="95"/>
      <c r="O310" s="95"/>
      <c r="P310" s="99"/>
      <c r="Q310" s="100"/>
      <c r="R310" s="101"/>
    </row>
    <row r="311" spans="1:18" ht="18" thickBot="1">
      <c r="A311" s="29" t="s">
        <v>36</v>
      </c>
      <c r="B311" s="28" t="s">
        <v>82</v>
      </c>
      <c r="C311" s="28">
        <v>2</v>
      </c>
      <c r="D311" s="30">
        <v>2182.59</v>
      </c>
      <c r="E311" s="30">
        <v>2604.88</v>
      </c>
      <c r="F311" s="30">
        <v>4787.47</v>
      </c>
      <c r="G311" s="30">
        <v>489.06</v>
      </c>
      <c r="H311" s="30">
        <v>1000</v>
      </c>
      <c r="I311" s="28" t="s">
        <v>77</v>
      </c>
      <c r="J311" s="30">
        <v>6276.53</v>
      </c>
      <c r="K311" s="30">
        <v>75318.36</v>
      </c>
      <c r="L311" s="30">
        <v>4787.47</v>
      </c>
      <c r="M311" s="30">
        <v>1595.82</v>
      </c>
      <c r="N311" s="30">
        <v>712.47</v>
      </c>
      <c r="O311" s="30">
        <v>82414.12</v>
      </c>
      <c r="P311" s="102">
        <v>164828.24</v>
      </c>
      <c r="Q311" s="103"/>
      <c r="R311" s="104"/>
    </row>
    <row r="312" spans="1:18" ht="18" thickBot="1">
      <c r="A312" s="92" t="s">
        <v>78</v>
      </c>
      <c r="B312" s="93"/>
      <c r="C312" s="28"/>
      <c r="D312" s="30">
        <v>2182.59</v>
      </c>
      <c r="E312" s="30">
        <v>2604.88</v>
      </c>
      <c r="F312" s="30">
        <v>4787.47</v>
      </c>
      <c r="G312" s="30">
        <v>489.06</v>
      </c>
      <c r="H312" s="30">
        <v>1000</v>
      </c>
      <c r="I312" s="28" t="s">
        <v>77</v>
      </c>
      <c r="J312" s="30">
        <v>6276.53</v>
      </c>
      <c r="K312" s="30">
        <v>75318.36</v>
      </c>
      <c r="L312" s="30">
        <v>4787.47</v>
      </c>
      <c r="M312" s="30">
        <v>1595.82</v>
      </c>
      <c r="N312" s="30">
        <v>712.47</v>
      </c>
      <c r="O312" s="30">
        <v>82414.12</v>
      </c>
      <c r="P312" s="102">
        <v>164828.24</v>
      </c>
      <c r="Q312" s="103"/>
      <c r="R312" s="104"/>
    </row>
    <row r="313" spans="1:18">
      <c r="A313" s="32"/>
    </row>
    <row r="314" spans="1:18">
      <c r="A314" s="16" t="s">
        <v>98</v>
      </c>
    </row>
    <row r="315" spans="1:18" ht="17" thickBot="1">
      <c r="A315" s="24"/>
    </row>
    <row r="316" spans="1:18" ht="35" thickBot="1">
      <c r="A316" s="94" t="s">
        <v>44</v>
      </c>
      <c r="B316" s="94" t="s">
        <v>45</v>
      </c>
      <c r="C316" s="23" t="s">
        <v>46</v>
      </c>
      <c r="D316" s="23" t="s">
        <v>47</v>
      </c>
      <c r="E316" s="23" t="s">
        <v>48</v>
      </c>
      <c r="F316" s="23" t="s">
        <v>49</v>
      </c>
      <c r="G316" s="23" t="s">
        <v>50</v>
      </c>
      <c r="H316" s="23" t="s">
        <v>51</v>
      </c>
      <c r="I316" s="23" t="s">
        <v>52</v>
      </c>
      <c r="J316" s="23" t="s">
        <v>53</v>
      </c>
      <c r="K316" s="23" t="s">
        <v>88</v>
      </c>
      <c r="L316" s="23" t="s">
        <v>55</v>
      </c>
      <c r="M316" s="23" t="s">
        <v>56</v>
      </c>
      <c r="N316" s="23" t="s">
        <v>57</v>
      </c>
      <c r="O316" s="23" t="s">
        <v>58</v>
      </c>
      <c r="P316" s="25" t="s">
        <v>59</v>
      </c>
      <c r="Q316" s="26"/>
      <c r="R316" s="26"/>
    </row>
    <row r="317" spans="1:18" ht="17">
      <c r="A317" s="108"/>
      <c r="B317" s="108"/>
      <c r="C317" s="94" t="s">
        <v>60</v>
      </c>
      <c r="D317" s="94" t="s">
        <v>61</v>
      </c>
      <c r="E317" s="94" t="s">
        <v>62</v>
      </c>
      <c r="F317" s="94" t="s">
        <v>63</v>
      </c>
      <c r="G317" s="94" t="s">
        <v>64</v>
      </c>
      <c r="H317" s="94" t="s">
        <v>65</v>
      </c>
      <c r="I317" s="94" t="s">
        <v>66</v>
      </c>
      <c r="J317" s="27" t="s">
        <v>67</v>
      </c>
      <c r="K317" s="27" t="s">
        <v>89</v>
      </c>
      <c r="L317" s="94" t="s">
        <v>69</v>
      </c>
      <c r="M317" s="94" t="s">
        <v>93</v>
      </c>
      <c r="N317" s="94" t="s">
        <v>71</v>
      </c>
      <c r="O317" s="94" t="s">
        <v>72</v>
      </c>
      <c r="P317" s="94" t="s">
        <v>73</v>
      </c>
      <c r="Q317" s="105"/>
      <c r="R317" s="109"/>
    </row>
    <row r="318" spans="1:18" ht="18" thickBot="1">
      <c r="A318" s="95"/>
      <c r="B318" s="95"/>
      <c r="C318" s="95"/>
      <c r="D318" s="95"/>
      <c r="E318" s="95"/>
      <c r="F318" s="95"/>
      <c r="G318" s="95"/>
      <c r="H318" s="95"/>
      <c r="I318" s="95"/>
      <c r="J318" s="28" t="s">
        <v>74</v>
      </c>
      <c r="K318" s="28" t="s">
        <v>75</v>
      </c>
      <c r="L318" s="95"/>
      <c r="M318" s="95"/>
      <c r="N318" s="95"/>
      <c r="O318" s="95"/>
      <c r="P318" s="95"/>
      <c r="Q318" s="105"/>
      <c r="R318" s="109"/>
    </row>
    <row r="319" spans="1:18" ht="18" thickBot="1">
      <c r="A319" s="29" t="s">
        <v>37</v>
      </c>
      <c r="B319" s="28" t="s">
        <v>82</v>
      </c>
      <c r="C319" s="28">
        <v>1</v>
      </c>
      <c r="D319" s="30">
        <v>2182.59</v>
      </c>
      <c r="E319" s="30">
        <v>2604.88</v>
      </c>
      <c r="F319" s="30">
        <v>4787.47</v>
      </c>
      <c r="G319" s="30">
        <v>489.06</v>
      </c>
      <c r="H319" s="30">
        <v>1000</v>
      </c>
      <c r="I319" s="28" t="s">
        <v>77</v>
      </c>
      <c r="J319" s="30">
        <v>6276.53</v>
      </c>
      <c r="K319" s="30">
        <v>75318.36</v>
      </c>
      <c r="L319" s="30">
        <v>4787.47</v>
      </c>
      <c r="M319" s="30">
        <v>1595.82</v>
      </c>
      <c r="N319" s="30">
        <v>712.47</v>
      </c>
      <c r="O319" s="30">
        <v>82414.12</v>
      </c>
      <c r="P319" s="31">
        <v>82414.12</v>
      </c>
      <c r="Q319" s="26"/>
      <c r="R319" s="26"/>
    </row>
    <row r="320" spans="1:18" ht="18" thickBot="1">
      <c r="A320" s="106" t="s">
        <v>78</v>
      </c>
      <c r="B320" s="107"/>
      <c r="C320" s="28"/>
      <c r="D320" s="30">
        <v>2182.59</v>
      </c>
      <c r="E320" s="30">
        <v>2604.88</v>
      </c>
      <c r="F320" s="30">
        <v>4787.47</v>
      </c>
      <c r="G320" s="30">
        <v>489.06</v>
      </c>
      <c r="H320" s="30">
        <v>1000</v>
      </c>
      <c r="I320" s="28" t="s">
        <v>77</v>
      </c>
      <c r="J320" s="30">
        <v>6276.53</v>
      </c>
      <c r="K320" s="30">
        <v>75318.36</v>
      </c>
      <c r="L320" s="30">
        <v>4787.47</v>
      </c>
      <c r="M320" s="30">
        <v>1595.82</v>
      </c>
      <c r="N320" s="30">
        <v>712.47</v>
      </c>
      <c r="O320" s="30">
        <v>82414.12</v>
      </c>
      <c r="P320" s="31">
        <v>82414.12</v>
      </c>
      <c r="Q320" s="26"/>
      <c r="R320" s="26"/>
    </row>
    <row r="321" spans="1:18" ht="35" thickBot="1">
      <c r="A321" s="94" t="s">
        <v>44</v>
      </c>
      <c r="B321" s="94" t="s">
        <v>45</v>
      </c>
      <c r="C321" s="28" t="s">
        <v>46</v>
      </c>
      <c r="D321" s="28" t="s">
        <v>47</v>
      </c>
      <c r="E321" s="28" t="s">
        <v>48</v>
      </c>
      <c r="F321" s="28" t="s">
        <v>49</v>
      </c>
      <c r="G321" s="28" t="s">
        <v>50</v>
      </c>
      <c r="H321" s="28" t="s">
        <v>51</v>
      </c>
      <c r="I321" s="28" t="s">
        <v>52</v>
      </c>
      <c r="J321" s="28" t="s">
        <v>53</v>
      </c>
      <c r="K321" s="28" t="s">
        <v>88</v>
      </c>
      <c r="L321" s="28" t="s">
        <v>55</v>
      </c>
      <c r="M321" s="28" t="s">
        <v>56</v>
      </c>
      <c r="N321" s="28" t="s">
        <v>57</v>
      </c>
      <c r="O321" s="28" t="s">
        <v>58</v>
      </c>
      <c r="P321" s="99" t="s">
        <v>59</v>
      </c>
      <c r="Q321" s="101"/>
      <c r="R321" s="26"/>
    </row>
    <row r="322" spans="1:18" ht="17">
      <c r="A322" s="108"/>
      <c r="B322" s="108"/>
      <c r="C322" s="94" t="s">
        <v>60</v>
      </c>
      <c r="D322" s="94" t="s">
        <v>61</v>
      </c>
      <c r="E322" s="94" t="s">
        <v>62</v>
      </c>
      <c r="F322" s="94" t="s">
        <v>63</v>
      </c>
      <c r="G322" s="94" t="s">
        <v>64</v>
      </c>
      <c r="H322" s="94" t="s">
        <v>65</v>
      </c>
      <c r="I322" s="94" t="s">
        <v>66</v>
      </c>
      <c r="J322" s="27" t="s">
        <v>67</v>
      </c>
      <c r="K322" s="27" t="s">
        <v>89</v>
      </c>
      <c r="L322" s="94" t="s">
        <v>69</v>
      </c>
      <c r="M322" s="94" t="s">
        <v>70</v>
      </c>
      <c r="N322" s="94" t="s">
        <v>71</v>
      </c>
      <c r="O322" s="94" t="s">
        <v>72</v>
      </c>
      <c r="P322" s="96" t="s">
        <v>73</v>
      </c>
      <c r="Q322" s="98"/>
      <c r="R322" s="105"/>
    </row>
    <row r="323" spans="1:18" ht="18" thickBot="1">
      <c r="A323" s="95"/>
      <c r="B323" s="95"/>
      <c r="C323" s="95"/>
      <c r="D323" s="95"/>
      <c r="E323" s="95"/>
      <c r="F323" s="95"/>
      <c r="G323" s="95"/>
      <c r="H323" s="95"/>
      <c r="I323" s="95"/>
      <c r="J323" s="28" t="s">
        <v>74</v>
      </c>
      <c r="K323" s="28" t="s">
        <v>75</v>
      </c>
      <c r="L323" s="95"/>
      <c r="M323" s="95"/>
      <c r="N323" s="95"/>
      <c r="O323" s="95"/>
      <c r="P323" s="99"/>
      <c r="Q323" s="101"/>
      <c r="R323" s="105"/>
    </row>
    <row r="324" spans="1:18" ht="18" thickBot="1">
      <c r="A324" s="29" t="s">
        <v>38</v>
      </c>
      <c r="B324" s="28" t="s">
        <v>82</v>
      </c>
      <c r="C324" s="28">
        <v>1</v>
      </c>
      <c r="D324" s="30">
        <v>2182.59</v>
      </c>
      <c r="E324" s="30">
        <v>2604.88</v>
      </c>
      <c r="F324" s="30">
        <v>4787.47</v>
      </c>
      <c r="G324" s="30">
        <v>489.06</v>
      </c>
      <c r="H324" s="30">
        <v>1000</v>
      </c>
      <c r="I324" s="28" t="s">
        <v>77</v>
      </c>
      <c r="J324" s="30">
        <v>6276.53</v>
      </c>
      <c r="K324" s="30">
        <v>75318.36</v>
      </c>
      <c r="L324" s="30">
        <v>4787.47</v>
      </c>
      <c r="M324" s="30">
        <v>1595.82</v>
      </c>
      <c r="N324" s="30">
        <v>712.47</v>
      </c>
      <c r="O324" s="30">
        <v>82414.12</v>
      </c>
      <c r="P324" s="102">
        <v>82414.12</v>
      </c>
      <c r="Q324" s="104"/>
      <c r="R324" s="26"/>
    </row>
    <row r="325" spans="1:18" ht="18" thickBot="1">
      <c r="A325" s="106" t="s">
        <v>78</v>
      </c>
      <c r="B325" s="107"/>
      <c r="C325" s="28"/>
      <c r="D325" s="30">
        <v>2182.59</v>
      </c>
      <c r="E325" s="30">
        <v>2604.88</v>
      </c>
      <c r="F325" s="30">
        <v>4787.47</v>
      </c>
      <c r="G325" s="30">
        <v>489.06</v>
      </c>
      <c r="H325" s="30">
        <v>1000</v>
      </c>
      <c r="I325" s="28" t="s">
        <v>77</v>
      </c>
      <c r="J325" s="30">
        <v>6276.53</v>
      </c>
      <c r="K325" s="30">
        <v>75318.36</v>
      </c>
      <c r="L325" s="30">
        <v>4787.47</v>
      </c>
      <c r="M325" s="30">
        <v>1595.82</v>
      </c>
      <c r="N325" s="30">
        <v>712.47</v>
      </c>
      <c r="O325" s="30">
        <v>82414.12</v>
      </c>
      <c r="P325" s="102">
        <v>82414.12</v>
      </c>
      <c r="Q325" s="104"/>
      <c r="R325" s="26"/>
    </row>
    <row r="326" spans="1:18" ht="35" thickBot="1">
      <c r="A326" s="94" t="s">
        <v>44</v>
      </c>
      <c r="B326" s="94" t="s">
        <v>45</v>
      </c>
      <c r="C326" s="28" t="s">
        <v>46</v>
      </c>
      <c r="D326" s="28" t="s">
        <v>47</v>
      </c>
      <c r="E326" s="28" t="s">
        <v>48</v>
      </c>
      <c r="F326" s="28" t="s">
        <v>49</v>
      </c>
      <c r="G326" s="28" t="s">
        <v>85</v>
      </c>
      <c r="H326" s="28" t="s">
        <v>51</v>
      </c>
      <c r="I326" s="28" t="s">
        <v>52</v>
      </c>
      <c r="J326" s="28" t="s">
        <v>53</v>
      </c>
      <c r="K326" s="28" t="s">
        <v>88</v>
      </c>
      <c r="L326" s="28" t="s">
        <v>55</v>
      </c>
      <c r="M326" s="28" t="s">
        <v>56</v>
      </c>
      <c r="N326" s="28" t="s">
        <v>57</v>
      </c>
      <c r="O326" s="28" t="s">
        <v>58</v>
      </c>
      <c r="P326" s="99" t="s">
        <v>59</v>
      </c>
      <c r="Q326" s="100"/>
      <c r="R326" s="101"/>
    </row>
    <row r="327" spans="1:18" ht="17">
      <c r="A327" s="108"/>
      <c r="B327" s="108"/>
      <c r="C327" s="94" t="s">
        <v>60</v>
      </c>
      <c r="D327" s="94" t="s">
        <v>61</v>
      </c>
      <c r="E327" s="94" t="s">
        <v>62</v>
      </c>
      <c r="F327" s="94" t="s">
        <v>63</v>
      </c>
      <c r="G327" s="94" t="s">
        <v>64</v>
      </c>
      <c r="H327" s="94" t="s">
        <v>65</v>
      </c>
      <c r="I327" s="94" t="s">
        <v>66</v>
      </c>
      <c r="J327" s="27" t="s">
        <v>67</v>
      </c>
      <c r="K327" s="27" t="s">
        <v>89</v>
      </c>
      <c r="L327" s="94" t="s">
        <v>69</v>
      </c>
      <c r="M327" s="94" t="s">
        <v>70</v>
      </c>
      <c r="N327" s="94" t="s">
        <v>71</v>
      </c>
      <c r="O327" s="94" t="s">
        <v>72</v>
      </c>
      <c r="P327" s="96" t="s">
        <v>73</v>
      </c>
      <c r="Q327" s="97"/>
      <c r="R327" s="98"/>
    </row>
    <row r="328" spans="1:18" ht="18" thickBot="1">
      <c r="A328" s="95"/>
      <c r="B328" s="95"/>
      <c r="C328" s="95"/>
      <c r="D328" s="95"/>
      <c r="E328" s="95"/>
      <c r="F328" s="95"/>
      <c r="G328" s="95"/>
      <c r="H328" s="95"/>
      <c r="I328" s="95"/>
      <c r="J328" s="28" t="s">
        <v>74</v>
      </c>
      <c r="K328" s="28" t="s">
        <v>75</v>
      </c>
      <c r="L328" s="95"/>
      <c r="M328" s="95"/>
      <c r="N328" s="95"/>
      <c r="O328" s="95"/>
      <c r="P328" s="99"/>
      <c r="Q328" s="100"/>
      <c r="R328" s="101"/>
    </row>
    <row r="329" spans="1:18" ht="18" thickBot="1">
      <c r="A329" s="29" t="s">
        <v>39</v>
      </c>
      <c r="B329" s="28" t="s">
        <v>82</v>
      </c>
      <c r="C329" s="28">
        <v>1</v>
      </c>
      <c r="D329" s="30">
        <v>2182.59</v>
      </c>
      <c r="E329" s="30">
        <v>2604.88</v>
      </c>
      <c r="F329" s="30">
        <v>4787.47</v>
      </c>
      <c r="G329" s="30">
        <v>489.06</v>
      </c>
      <c r="H329" s="30">
        <v>1000</v>
      </c>
      <c r="I329" s="28" t="s">
        <v>77</v>
      </c>
      <c r="J329" s="30">
        <v>6276.53</v>
      </c>
      <c r="K329" s="30">
        <v>75318.36</v>
      </c>
      <c r="L329" s="30">
        <v>4787.47</v>
      </c>
      <c r="M329" s="30">
        <v>1595.82</v>
      </c>
      <c r="N329" s="30">
        <v>712.47</v>
      </c>
      <c r="O329" s="30">
        <v>82414.12</v>
      </c>
      <c r="P329" s="102">
        <v>82414.12</v>
      </c>
      <c r="Q329" s="103"/>
      <c r="R329" s="104"/>
    </row>
    <row r="330" spans="1:18" ht="18" thickBot="1">
      <c r="A330" s="92" t="s">
        <v>78</v>
      </c>
      <c r="B330" s="93"/>
      <c r="C330" s="28"/>
      <c r="D330" s="30">
        <v>2182.59</v>
      </c>
      <c r="E330" s="30">
        <v>2604.88</v>
      </c>
      <c r="F330" s="30">
        <v>4787.47</v>
      </c>
      <c r="G330" s="30">
        <v>489.06</v>
      </c>
      <c r="H330" s="30">
        <v>1000</v>
      </c>
      <c r="I330" s="28" t="s">
        <v>77</v>
      </c>
      <c r="J330" s="30">
        <v>6276.53</v>
      </c>
      <c r="K330" s="30">
        <v>75318.36</v>
      </c>
      <c r="L330" s="30">
        <v>4787.47</v>
      </c>
      <c r="M330" s="30">
        <v>1595.82</v>
      </c>
      <c r="N330" s="30">
        <v>712.47</v>
      </c>
      <c r="O330" s="30">
        <v>82414.12</v>
      </c>
      <c r="P330" s="102">
        <v>82414.12</v>
      </c>
      <c r="Q330" s="103"/>
      <c r="R330" s="104"/>
    </row>
    <row r="331" spans="1:18">
      <c r="A331" s="33"/>
    </row>
    <row r="332" spans="1:18">
      <c r="A332" s="33"/>
    </row>
    <row r="333" spans="1:18">
      <c r="A333" s="33"/>
    </row>
    <row r="334" spans="1:18">
      <c r="A334" s="16" t="s">
        <v>98</v>
      </c>
    </row>
    <row r="335" spans="1:18">
      <c r="A335" s="16"/>
    </row>
    <row r="336" spans="1:18" ht="17" thickBot="1">
      <c r="A336" s="16"/>
    </row>
    <row r="337" spans="1:18" ht="35" thickBot="1">
      <c r="A337" s="94" t="s">
        <v>44</v>
      </c>
      <c r="B337" s="94" t="s">
        <v>45</v>
      </c>
      <c r="C337" s="23" t="s">
        <v>46</v>
      </c>
      <c r="D337" s="23" t="s">
        <v>47</v>
      </c>
      <c r="E337" s="23" t="s">
        <v>48</v>
      </c>
      <c r="F337" s="23" t="s">
        <v>49</v>
      </c>
      <c r="G337" s="23" t="s">
        <v>50</v>
      </c>
      <c r="H337" s="23" t="s">
        <v>51</v>
      </c>
      <c r="I337" s="23" t="s">
        <v>52</v>
      </c>
      <c r="J337" s="23" t="s">
        <v>53</v>
      </c>
      <c r="K337" s="23" t="s">
        <v>88</v>
      </c>
      <c r="L337" s="23" t="s">
        <v>55</v>
      </c>
      <c r="M337" s="23" t="s">
        <v>56</v>
      </c>
      <c r="N337" s="23" t="s">
        <v>57</v>
      </c>
      <c r="O337" s="23" t="s">
        <v>58</v>
      </c>
      <c r="P337" s="25" t="s">
        <v>59</v>
      </c>
      <c r="Q337" s="26"/>
      <c r="R337" s="26"/>
    </row>
    <row r="338" spans="1:18" ht="17">
      <c r="A338" s="108"/>
      <c r="B338" s="108"/>
      <c r="C338" s="94" t="s">
        <v>60</v>
      </c>
      <c r="D338" s="94" t="s">
        <v>61</v>
      </c>
      <c r="E338" s="94" t="s">
        <v>62</v>
      </c>
      <c r="F338" s="94" t="s">
        <v>63</v>
      </c>
      <c r="G338" s="94" t="s">
        <v>64</v>
      </c>
      <c r="H338" s="94" t="s">
        <v>65</v>
      </c>
      <c r="I338" s="94" t="s">
        <v>66</v>
      </c>
      <c r="J338" s="27" t="s">
        <v>67</v>
      </c>
      <c r="K338" s="94" t="s">
        <v>89</v>
      </c>
      <c r="L338" s="94" t="s">
        <v>69</v>
      </c>
      <c r="M338" s="94" t="s">
        <v>70</v>
      </c>
      <c r="N338" s="94" t="s">
        <v>71</v>
      </c>
      <c r="O338" s="94" t="s">
        <v>72</v>
      </c>
      <c r="P338" s="94" t="s">
        <v>73</v>
      </c>
      <c r="Q338" s="105"/>
      <c r="R338" s="109"/>
    </row>
    <row r="339" spans="1:18" ht="18" thickBot="1">
      <c r="A339" s="95"/>
      <c r="B339" s="95"/>
      <c r="C339" s="95"/>
      <c r="D339" s="95"/>
      <c r="E339" s="95"/>
      <c r="F339" s="95"/>
      <c r="G339" s="95"/>
      <c r="H339" s="95"/>
      <c r="I339" s="95"/>
      <c r="J339" s="28" t="s">
        <v>74</v>
      </c>
      <c r="K339" s="95"/>
      <c r="L339" s="95"/>
      <c r="M339" s="95"/>
      <c r="N339" s="95"/>
      <c r="O339" s="95"/>
      <c r="P339" s="95"/>
      <c r="Q339" s="105"/>
      <c r="R339" s="109"/>
    </row>
    <row r="340" spans="1:18" ht="18" thickBot="1">
      <c r="A340" s="3" t="s">
        <v>15</v>
      </c>
      <c r="B340" s="28" t="s">
        <v>76</v>
      </c>
      <c r="C340" s="28">
        <v>1</v>
      </c>
      <c r="D340" s="30">
        <v>2769.57</v>
      </c>
      <c r="E340" s="30">
        <v>2844</v>
      </c>
      <c r="F340" s="30">
        <v>5613.57</v>
      </c>
      <c r="G340" s="30">
        <v>604.71</v>
      </c>
      <c r="H340" s="30">
        <v>1000</v>
      </c>
      <c r="I340" s="28" t="s">
        <v>77</v>
      </c>
      <c r="J340" s="30">
        <v>7218.28</v>
      </c>
      <c r="K340" s="30">
        <v>86619.36</v>
      </c>
      <c r="L340" s="30">
        <v>5613.37</v>
      </c>
      <c r="M340" s="30">
        <v>1871.19</v>
      </c>
      <c r="N340" s="30">
        <v>751.94</v>
      </c>
      <c r="O340" s="30">
        <v>94856.06</v>
      </c>
      <c r="P340" s="31">
        <v>94856.06</v>
      </c>
      <c r="Q340" s="26"/>
      <c r="R340" s="26"/>
    </row>
    <row r="341" spans="1:18" ht="18" thickBot="1">
      <c r="A341" s="106" t="s">
        <v>78</v>
      </c>
      <c r="B341" s="107"/>
      <c r="C341" s="28"/>
      <c r="D341" s="30">
        <v>2769.57</v>
      </c>
      <c r="E341" s="30">
        <v>2844</v>
      </c>
      <c r="F341" s="30">
        <v>5613.57</v>
      </c>
      <c r="G341" s="30">
        <v>604.71</v>
      </c>
      <c r="H341" s="30">
        <v>1000</v>
      </c>
      <c r="I341" s="28" t="s">
        <v>77</v>
      </c>
      <c r="J341" s="30">
        <v>7218.28</v>
      </c>
      <c r="K341" s="30">
        <v>86619.36</v>
      </c>
      <c r="L341" s="36">
        <v>5613.37</v>
      </c>
      <c r="M341" s="30">
        <v>1871.19</v>
      </c>
      <c r="N341" s="30">
        <v>751.94</v>
      </c>
      <c r="O341" s="30">
        <v>94856.06</v>
      </c>
      <c r="P341" s="31">
        <v>94856.06</v>
      </c>
      <c r="Q341" s="26"/>
      <c r="R341" s="26"/>
    </row>
    <row r="342" spans="1:18" ht="35" thickBot="1">
      <c r="A342" s="94" t="s">
        <v>44</v>
      </c>
      <c r="B342" s="94" t="s">
        <v>45</v>
      </c>
      <c r="C342" s="28" t="s">
        <v>46</v>
      </c>
      <c r="D342" s="28" t="s">
        <v>47</v>
      </c>
      <c r="E342" s="28" t="s">
        <v>48</v>
      </c>
      <c r="F342" s="28" t="s">
        <v>49</v>
      </c>
      <c r="G342" s="28" t="s">
        <v>50</v>
      </c>
      <c r="H342" s="28" t="s">
        <v>51</v>
      </c>
      <c r="I342" s="28" t="s">
        <v>52</v>
      </c>
      <c r="J342" s="28" t="s">
        <v>53</v>
      </c>
      <c r="K342" s="28" t="s">
        <v>88</v>
      </c>
      <c r="L342" s="28" t="s">
        <v>55</v>
      </c>
      <c r="M342" s="28" t="s">
        <v>56</v>
      </c>
      <c r="N342" s="28" t="s">
        <v>57</v>
      </c>
      <c r="O342" s="28" t="s">
        <v>58</v>
      </c>
      <c r="P342" s="99" t="s">
        <v>59</v>
      </c>
      <c r="Q342" s="101"/>
      <c r="R342" s="26"/>
    </row>
    <row r="343" spans="1:18" ht="17">
      <c r="A343" s="108"/>
      <c r="B343" s="108"/>
      <c r="C343" s="94" t="s">
        <v>60</v>
      </c>
      <c r="D343" s="94" t="s">
        <v>61</v>
      </c>
      <c r="E343" s="94" t="s">
        <v>62</v>
      </c>
      <c r="F343" s="94" t="s">
        <v>63</v>
      </c>
      <c r="G343" s="94" t="s">
        <v>64</v>
      </c>
      <c r="H343" s="94" t="s">
        <v>65</v>
      </c>
      <c r="I343" s="94" t="s">
        <v>66</v>
      </c>
      <c r="J343" s="27" t="s">
        <v>67</v>
      </c>
      <c r="K343" s="94" t="s">
        <v>89</v>
      </c>
      <c r="L343" s="94" t="s">
        <v>69</v>
      </c>
      <c r="M343" s="94" t="s">
        <v>70</v>
      </c>
      <c r="N343" s="94" t="s">
        <v>71</v>
      </c>
      <c r="O343" s="94" t="s">
        <v>72</v>
      </c>
      <c r="P343" s="96" t="s">
        <v>73</v>
      </c>
      <c r="Q343" s="98"/>
      <c r="R343" s="105"/>
    </row>
    <row r="344" spans="1:18" ht="18" thickBot="1">
      <c r="A344" s="95"/>
      <c r="B344" s="95"/>
      <c r="C344" s="95"/>
      <c r="D344" s="95"/>
      <c r="E344" s="95"/>
      <c r="F344" s="95"/>
      <c r="G344" s="95"/>
      <c r="H344" s="95"/>
      <c r="I344" s="95"/>
      <c r="J344" s="28" t="s">
        <v>74</v>
      </c>
      <c r="K344" s="95"/>
      <c r="L344" s="95"/>
      <c r="M344" s="95"/>
      <c r="N344" s="95"/>
      <c r="O344" s="95"/>
      <c r="P344" s="99"/>
      <c r="Q344" s="101"/>
      <c r="R344" s="105"/>
    </row>
    <row r="345" spans="1:18" ht="18" thickBot="1">
      <c r="A345" s="29" t="s">
        <v>16</v>
      </c>
      <c r="B345" s="28" t="s">
        <v>76</v>
      </c>
      <c r="C345" s="28">
        <v>1</v>
      </c>
      <c r="D345" s="30">
        <v>2769.57</v>
      </c>
      <c r="E345" s="30">
        <v>2844</v>
      </c>
      <c r="F345" s="30">
        <v>5613.57</v>
      </c>
      <c r="G345" s="30">
        <v>604.71</v>
      </c>
      <c r="H345" s="30">
        <v>1000</v>
      </c>
      <c r="I345" s="28" t="s">
        <v>77</v>
      </c>
      <c r="J345" s="30">
        <v>7218.28</v>
      </c>
      <c r="K345" s="30">
        <v>86619.36</v>
      </c>
      <c r="L345" s="30">
        <v>5613.37</v>
      </c>
      <c r="M345" s="30">
        <v>1871.19</v>
      </c>
      <c r="N345" s="30">
        <v>751.94</v>
      </c>
      <c r="O345" s="30">
        <v>94856.06</v>
      </c>
      <c r="P345" s="102">
        <v>94856.06</v>
      </c>
      <c r="Q345" s="104"/>
      <c r="R345" s="26"/>
    </row>
    <row r="346" spans="1:18" ht="18" thickBot="1">
      <c r="A346" s="106" t="s">
        <v>78</v>
      </c>
      <c r="B346" s="107"/>
      <c r="C346" s="28"/>
      <c r="D346" s="30">
        <v>2769.57</v>
      </c>
      <c r="E346" s="30">
        <v>2844</v>
      </c>
      <c r="F346" s="30">
        <v>5613.57</v>
      </c>
      <c r="G346" s="30">
        <v>604.71</v>
      </c>
      <c r="H346" s="30">
        <v>1000</v>
      </c>
      <c r="I346" s="28" t="s">
        <v>77</v>
      </c>
      <c r="J346" s="30">
        <v>7218.28</v>
      </c>
      <c r="K346" s="30">
        <v>86619.36</v>
      </c>
      <c r="L346" s="36">
        <v>5613.37</v>
      </c>
      <c r="M346" s="30">
        <v>1871.19</v>
      </c>
      <c r="N346" s="30">
        <v>751.94</v>
      </c>
      <c r="O346" s="30">
        <v>94856.06</v>
      </c>
      <c r="P346" s="102">
        <v>94856.06</v>
      </c>
      <c r="Q346" s="104"/>
      <c r="R346" s="26"/>
    </row>
    <row r="347" spans="1:18" ht="35" thickBot="1">
      <c r="A347" s="94" t="s">
        <v>44</v>
      </c>
      <c r="B347" s="94" t="s">
        <v>45</v>
      </c>
      <c r="C347" s="28" t="s">
        <v>46</v>
      </c>
      <c r="D347" s="28" t="s">
        <v>47</v>
      </c>
      <c r="E347" s="28" t="s">
        <v>48</v>
      </c>
      <c r="F347" s="28" t="s">
        <v>49</v>
      </c>
      <c r="G347" s="28" t="s">
        <v>50</v>
      </c>
      <c r="H347" s="28" t="s">
        <v>51</v>
      </c>
      <c r="I347" s="28" t="s">
        <v>52</v>
      </c>
      <c r="J347" s="28" t="s">
        <v>53</v>
      </c>
      <c r="K347" s="28" t="s">
        <v>88</v>
      </c>
      <c r="L347" s="28" t="s">
        <v>55</v>
      </c>
      <c r="M347" s="28" t="s">
        <v>56</v>
      </c>
      <c r="N347" s="28" t="s">
        <v>57</v>
      </c>
      <c r="O347" s="28" t="s">
        <v>58</v>
      </c>
      <c r="P347" s="99" t="s">
        <v>59</v>
      </c>
      <c r="Q347" s="100"/>
      <c r="R347" s="101"/>
    </row>
    <row r="348" spans="1:18" ht="17">
      <c r="A348" s="108"/>
      <c r="B348" s="108"/>
      <c r="C348" s="94" t="s">
        <v>60</v>
      </c>
      <c r="D348" s="94" t="s">
        <v>61</v>
      </c>
      <c r="E348" s="94" t="s">
        <v>62</v>
      </c>
      <c r="F348" s="94" t="s">
        <v>63</v>
      </c>
      <c r="G348" s="94" t="s">
        <v>64</v>
      </c>
      <c r="H348" s="94" t="s">
        <v>65</v>
      </c>
      <c r="I348" s="94" t="s">
        <v>66</v>
      </c>
      <c r="J348" s="27" t="s">
        <v>67</v>
      </c>
      <c r="K348" s="94" t="s">
        <v>89</v>
      </c>
      <c r="L348" s="94" t="s">
        <v>69</v>
      </c>
      <c r="M348" s="94" t="s">
        <v>70</v>
      </c>
      <c r="N348" s="94" t="s">
        <v>71</v>
      </c>
      <c r="O348" s="94" t="s">
        <v>72</v>
      </c>
      <c r="P348" s="96" t="s">
        <v>73</v>
      </c>
      <c r="Q348" s="97"/>
      <c r="R348" s="98"/>
    </row>
    <row r="349" spans="1:18" ht="18" thickBot="1">
      <c r="A349" s="95"/>
      <c r="B349" s="95"/>
      <c r="C349" s="95"/>
      <c r="D349" s="95"/>
      <c r="E349" s="95"/>
      <c r="F349" s="95"/>
      <c r="G349" s="95"/>
      <c r="H349" s="95"/>
      <c r="I349" s="95"/>
      <c r="J349" s="28" t="s">
        <v>74</v>
      </c>
      <c r="K349" s="95"/>
      <c r="L349" s="95"/>
      <c r="M349" s="95"/>
      <c r="N349" s="95"/>
      <c r="O349" s="95"/>
      <c r="P349" s="99"/>
      <c r="Q349" s="100"/>
      <c r="R349" s="101"/>
    </row>
    <row r="350" spans="1:18" ht="18" thickBot="1">
      <c r="A350" s="3" t="s">
        <v>17</v>
      </c>
      <c r="B350" s="28" t="s">
        <v>76</v>
      </c>
      <c r="C350" s="28">
        <v>1</v>
      </c>
      <c r="D350" s="30">
        <v>2769.57</v>
      </c>
      <c r="E350" s="30">
        <v>2844</v>
      </c>
      <c r="F350" s="30">
        <v>5613.57</v>
      </c>
      <c r="G350" s="30">
        <v>604.71</v>
      </c>
      <c r="H350" s="30">
        <v>1000</v>
      </c>
      <c r="I350" s="28" t="s">
        <v>77</v>
      </c>
      <c r="J350" s="30">
        <v>7218.28</v>
      </c>
      <c r="K350" s="30">
        <v>86619.36</v>
      </c>
      <c r="L350" s="30">
        <v>5613.37</v>
      </c>
      <c r="M350" s="30">
        <v>1871.19</v>
      </c>
      <c r="N350" s="30">
        <v>751.94</v>
      </c>
      <c r="O350" s="30">
        <v>94856.06</v>
      </c>
      <c r="P350" s="102">
        <v>94856.06</v>
      </c>
      <c r="Q350" s="103"/>
      <c r="R350" s="104"/>
    </row>
    <row r="351" spans="1:18" ht="18" thickBot="1">
      <c r="A351" s="92" t="s">
        <v>78</v>
      </c>
      <c r="B351" s="93"/>
      <c r="C351" s="28"/>
      <c r="D351" s="30">
        <v>2769.57</v>
      </c>
      <c r="E351" s="30">
        <v>2844</v>
      </c>
      <c r="F351" s="30">
        <v>5613.57</v>
      </c>
      <c r="G351" s="30">
        <v>604.71</v>
      </c>
      <c r="H351" s="30">
        <v>1000</v>
      </c>
      <c r="I351" s="28" t="s">
        <v>77</v>
      </c>
      <c r="J351" s="30">
        <v>7218.28</v>
      </c>
      <c r="K351" s="30">
        <v>86619.36</v>
      </c>
      <c r="L351" s="36">
        <v>5613.37</v>
      </c>
      <c r="M351" s="30">
        <v>1871.19</v>
      </c>
      <c r="N351" s="30">
        <v>751.94</v>
      </c>
      <c r="O351" s="30">
        <v>94856.06</v>
      </c>
      <c r="P351" s="102">
        <v>94856.06</v>
      </c>
      <c r="Q351" s="103"/>
      <c r="R351" s="104"/>
    </row>
    <row r="352" spans="1:18" ht="35" thickBot="1">
      <c r="A352" s="94" t="s">
        <v>44</v>
      </c>
      <c r="B352" s="94" t="s">
        <v>45</v>
      </c>
      <c r="C352" s="28" t="s">
        <v>46</v>
      </c>
      <c r="D352" s="28" t="s">
        <v>47</v>
      </c>
      <c r="E352" s="28" t="s">
        <v>48</v>
      </c>
      <c r="F352" s="28" t="s">
        <v>49</v>
      </c>
      <c r="G352" s="28" t="s">
        <v>50</v>
      </c>
      <c r="H352" s="28" t="s">
        <v>51</v>
      </c>
      <c r="I352" s="28" t="s">
        <v>52</v>
      </c>
      <c r="J352" s="28" t="s">
        <v>53</v>
      </c>
      <c r="K352" s="28" t="s">
        <v>88</v>
      </c>
      <c r="L352" s="28" t="s">
        <v>55</v>
      </c>
      <c r="M352" s="28" t="s">
        <v>56</v>
      </c>
      <c r="N352" s="28" t="s">
        <v>57</v>
      </c>
      <c r="O352" s="28" t="s">
        <v>58</v>
      </c>
      <c r="P352" s="92" t="s">
        <v>59</v>
      </c>
      <c r="Q352" s="110"/>
      <c r="R352" s="93"/>
    </row>
    <row r="353" spans="1:18" ht="17">
      <c r="A353" s="108"/>
      <c r="B353" s="108"/>
      <c r="C353" s="94" t="s">
        <v>60</v>
      </c>
      <c r="D353" s="94" t="s">
        <v>61</v>
      </c>
      <c r="E353" s="94" t="s">
        <v>62</v>
      </c>
      <c r="F353" s="94" t="s">
        <v>63</v>
      </c>
      <c r="G353" s="94" t="s">
        <v>64</v>
      </c>
      <c r="H353" s="94" t="s">
        <v>65</v>
      </c>
      <c r="I353" s="94" t="s">
        <v>66</v>
      </c>
      <c r="J353" s="27" t="s">
        <v>67</v>
      </c>
      <c r="K353" s="94" t="s">
        <v>89</v>
      </c>
      <c r="L353" s="94" t="s">
        <v>69</v>
      </c>
      <c r="M353" s="94" t="s">
        <v>70</v>
      </c>
      <c r="N353" s="94" t="s">
        <v>71</v>
      </c>
      <c r="O353" s="94" t="s">
        <v>72</v>
      </c>
      <c r="P353" s="96" t="s">
        <v>73</v>
      </c>
      <c r="Q353" s="97"/>
      <c r="R353" s="98"/>
    </row>
    <row r="354" spans="1:18" ht="18" thickBot="1">
      <c r="A354" s="95"/>
      <c r="B354" s="95"/>
      <c r="C354" s="95"/>
      <c r="D354" s="95"/>
      <c r="E354" s="95"/>
      <c r="F354" s="95"/>
      <c r="G354" s="95"/>
      <c r="H354" s="95"/>
      <c r="I354" s="95"/>
      <c r="J354" s="28" t="s">
        <v>74</v>
      </c>
      <c r="K354" s="95"/>
      <c r="L354" s="95"/>
      <c r="M354" s="95"/>
      <c r="N354" s="95"/>
      <c r="O354" s="95"/>
      <c r="P354" s="99"/>
      <c r="Q354" s="100"/>
      <c r="R354" s="101"/>
    </row>
    <row r="355" spans="1:18" ht="18" thickBot="1">
      <c r="A355" s="3" t="s">
        <v>18</v>
      </c>
      <c r="B355" s="28" t="s">
        <v>76</v>
      </c>
      <c r="C355" s="28">
        <v>1</v>
      </c>
      <c r="D355" s="30">
        <v>2769.57</v>
      </c>
      <c r="E355" s="30">
        <v>2844</v>
      </c>
      <c r="F355" s="30">
        <v>5613.57</v>
      </c>
      <c r="G355" s="30">
        <v>604.71</v>
      </c>
      <c r="H355" s="30">
        <v>1000</v>
      </c>
      <c r="I355" s="28" t="s">
        <v>77</v>
      </c>
      <c r="J355" s="30">
        <v>7218.28</v>
      </c>
      <c r="K355" s="30">
        <v>86619.36</v>
      </c>
      <c r="L355" s="30">
        <v>5613.37</v>
      </c>
      <c r="M355" s="30">
        <v>1871.19</v>
      </c>
      <c r="N355" s="30">
        <v>751.94</v>
      </c>
      <c r="O355" s="30">
        <v>94856.06</v>
      </c>
      <c r="P355" s="102">
        <v>94856.06</v>
      </c>
      <c r="Q355" s="103"/>
      <c r="R355" s="104"/>
    </row>
    <row r="356" spans="1:18" ht="18" thickBot="1">
      <c r="A356" s="106" t="s">
        <v>78</v>
      </c>
      <c r="B356" s="107"/>
      <c r="C356" s="28"/>
      <c r="D356" s="30">
        <v>2769.57</v>
      </c>
      <c r="E356" s="30">
        <v>2844</v>
      </c>
      <c r="F356" s="30">
        <v>5613.57</v>
      </c>
      <c r="G356" s="30">
        <v>604.71</v>
      </c>
      <c r="H356" s="30">
        <v>1000</v>
      </c>
      <c r="I356" s="28" t="s">
        <v>77</v>
      </c>
      <c r="J356" s="30">
        <v>7218.28</v>
      </c>
      <c r="K356" s="30">
        <v>86619.36</v>
      </c>
      <c r="L356" s="36">
        <v>5613.37</v>
      </c>
      <c r="M356" s="30">
        <v>1871.19</v>
      </c>
      <c r="N356" s="30">
        <v>751.94</v>
      </c>
      <c r="O356" s="30">
        <v>94856.06</v>
      </c>
      <c r="P356" s="102">
        <v>94856.06</v>
      </c>
      <c r="Q356" s="103"/>
      <c r="R356" s="104"/>
    </row>
    <row r="357" spans="1:18">
      <c r="A357" s="37" t="s">
        <v>98</v>
      </c>
    </row>
    <row r="358" spans="1:18" ht="17" thickBot="1">
      <c r="A358" s="33"/>
    </row>
    <row r="359" spans="1:18" ht="35" thickBot="1">
      <c r="A359" s="94" t="s">
        <v>44</v>
      </c>
      <c r="B359" s="94" t="s">
        <v>45</v>
      </c>
      <c r="C359" s="23" t="s">
        <v>46</v>
      </c>
      <c r="D359" s="23" t="s">
        <v>47</v>
      </c>
      <c r="E359" s="23" t="s">
        <v>48</v>
      </c>
      <c r="F359" s="23" t="s">
        <v>49</v>
      </c>
      <c r="G359" s="23" t="s">
        <v>50</v>
      </c>
      <c r="H359" s="23" t="s">
        <v>51</v>
      </c>
      <c r="I359" s="23" t="s">
        <v>52</v>
      </c>
      <c r="J359" s="23" t="s">
        <v>53</v>
      </c>
      <c r="K359" s="23" t="s">
        <v>88</v>
      </c>
      <c r="L359" s="23" t="s">
        <v>55</v>
      </c>
      <c r="M359" s="23" t="s">
        <v>56</v>
      </c>
      <c r="N359" s="23" t="s">
        <v>57</v>
      </c>
      <c r="O359" s="23" t="s">
        <v>58</v>
      </c>
      <c r="P359" s="25" t="s">
        <v>59</v>
      </c>
      <c r="Q359" s="26"/>
      <c r="R359" s="26"/>
    </row>
    <row r="360" spans="1:18" ht="17">
      <c r="A360" s="108"/>
      <c r="B360" s="108"/>
      <c r="C360" s="94" t="s">
        <v>60</v>
      </c>
      <c r="D360" s="94" t="s">
        <v>61</v>
      </c>
      <c r="E360" s="94" t="s">
        <v>62</v>
      </c>
      <c r="F360" s="94" t="s">
        <v>63</v>
      </c>
      <c r="G360" s="94" t="s">
        <v>64</v>
      </c>
      <c r="H360" s="94" t="s">
        <v>65</v>
      </c>
      <c r="I360" s="94" t="s">
        <v>66</v>
      </c>
      <c r="J360" s="27" t="s">
        <v>67</v>
      </c>
      <c r="K360" s="94" t="s">
        <v>89</v>
      </c>
      <c r="L360" s="94" t="s">
        <v>69</v>
      </c>
      <c r="M360" s="94" t="s">
        <v>70</v>
      </c>
      <c r="N360" s="94" t="s">
        <v>71</v>
      </c>
      <c r="O360" s="94" t="s">
        <v>72</v>
      </c>
      <c r="P360" s="94" t="s">
        <v>73</v>
      </c>
      <c r="Q360" s="105"/>
      <c r="R360" s="109"/>
    </row>
    <row r="361" spans="1:18" ht="18" thickBot="1">
      <c r="A361" s="95"/>
      <c r="B361" s="95"/>
      <c r="C361" s="95"/>
      <c r="D361" s="95"/>
      <c r="E361" s="95"/>
      <c r="F361" s="95"/>
      <c r="G361" s="95"/>
      <c r="H361" s="95"/>
      <c r="I361" s="95"/>
      <c r="J361" s="28" t="s">
        <v>74</v>
      </c>
      <c r="K361" s="95"/>
      <c r="L361" s="95"/>
      <c r="M361" s="95"/>
      <c r="N361" s="95"/>
      <c r="O361" s="95"/>
      <c r="P361" s="95"/>
      <c r="Q361" s="105"/>
      <c r="R361" s="109"/>
    </row>
    <row r="362" spans="1:18" ht="18" thickBot="1">
      <c r="A362" s="35" t="s">
        <v>19</v>
      </c>
      <c r="B362" s="28" t="s">
        <v>76</v>
      </c>
      <c r="C362" s="28">
        <v>1</v>
      </c>
      <c r="D362" s="30">
        <v>2769.57</v>
      </c>
      <c r="E362" s="30">
        <v>2844</v>
      </c>
      <c r="F362" s="30">
        <v>5613.57</v>
      </c>
      <c r="G362" s="30">
        <v>604.71</v>
      </c>
      <c r="H362" s="30">
        <v>1000</v>
      </c>
      <c r="I362" s="28" t="s">
        <v>77</v>
      </c>
      <c r="J362" s="30">
        <v>7218.28</v>
      </c>
      <c r="K362" s="30">
        <v>86619.36</v>
      </c>
      <c r="L362" s="30">
        <v>5613.37</v>
      </c>
      <c r="M362" s="30">
        <v>1871.19</v>
      </c>
      <c r="N362" s="30">
        <v>751.94</v>
      </c>
      <c r="O362" s="30">
        <v>94856.06</v>
      </c>
      <c r="P362" s="31">
        <v>94856.06</v>
      </c>
      <c r="Q362" s="26"/>
      <c r="R362" s="26"/>
    </row>
    <row r="363" spans="1:18" ht="18" thickBot="1">
      <c r="A363" s="106" t="s">
        <v>78</v>
      </c>
      <c r="B363" s="107"/>
      <c r="C363" s="28"/>
      <c r="D363" s="30">
        <v>2769.57</v>
      </c>
      <c r="E363" s="30">
        <v>2844</v>
      </c>
      <c r="F363" s="30">
        <v>5613.57</v>
      </c>
      <c r="G363" s="30">
        <v>604.71</v>
      </c>
      <c r="H363" s="30">
        <v>1000</v>
      </c>
      <c r="I363" s="28" t="s">
        <v>77</v>
      </c>
      <c r="J363" s="30">
        <v>7218.28</v>
      </c>
      <c r="K363" s="30">
        <v>86619.36</v>
      </c>
      <c r="L363" s="36">
        <v>5613.37</v>
      </c>
      <c r="M363" s="30">
        <v>1871.19</v>
      </c>
      <c r="N363" s="30">
        <v>751.94</v>
      </c>
      <c r="O363" s="30">
        <v>94856.06</v>
      </c>
      <c r="P363" s="31">
        <v>94856.06</v>
      </c>
      <c r="Q363" s="26"/>
      <c r="R363" s="26"/>
    </row>
    <row r="364" spans="1:18" ht="35" thickBot="1">
      <c r="A364" s="94" t="s">
        <v>44</v>
      </c>
      <c r="B364" s="94" t="s">
        <v>45</v>
      </c>
      <c r="C364" s="28" t="s">
        <v>46</v>
      </c>
      <c r="D364" s="28" t="s">
        <v>47</v>
      </c>
      <c r="E364" s="28" t="s">
        <v>48</v>
      </c>
      <c r="F364" s="28" t="s">
        <v>49</v>
      </c>
      <c r="G364" s="28" t="s">
        <v>50</v>
      </c>
      <c r="H364" s="28" t="s">
        <v>51</v>
      </c>
      <c r="I364" s="28" t="s">
        <v>52</v>
      </c>
      <c r="J364" s="28" t="s">
        <v>53</v>
      </c>
      <c r="K364" s="28" t="s">
        <v>88</v>
      </c>
      <c r="L364" s="28" t="s">
        <v>55</v>
      </c>
      <c r="M364" s="28" t="s">
        <v>56</v>
      </c>
      <c r="N364" s="28" t="s">
        <v>57</v>
      </c>
      <c r="O364" s="28" t="s">
        <v>58</v>
      </c>
      <c r="P364" s="99" t="s">
        <v>59</v>
      </c>
      <c r="Q364" s="101"/>
      <c r="R364" s="26"/>
    </row>
    <row r="365" spans="1:18" ht="17">
      <c r="A365" s="108"/>
      <c r="B365" s="108"/>
      <c r="C365" s="94" t="s">
        <v>60</v>
      </c>
      <c r="D365" s="94" t="s">
        <v>61</v>
      </c>
      <c r="E365" s="94" t="s">
        <v>62</v>
      </c>
      <c r="F365" s="94" t="s">
        <v>63</v>
      </c>
      <c r="G365" s="94" t="s">
        <v>64</v>
      </c>
      <c r="H365" s="94" t="s">
        <v>65</v>
      </c>
      <c r="I365" s="94" t="s">
        <v>66</v>
      </c>
      <c r="J365" s="27" t="s">
        <v>67</v>
      </c>
      <c r="K365" s="94" t="s">
        <v>89</v>
      </c>
      <c r="L365" s="94" t="s">
        <v>69</v>
      </c>
      <c r="M365" s="94" t="s">
        <v>70</v>
      </c>
      <c r="N365" s="94" t="s">
        <v>71</v>
      </c>
      <c r="O365" s="94" t="s">
        <v>72</v>
      </c>
      <c r="P365" s="96" t="s">
        <v>73</v>
      </c>
      <c r="Q365" s="98"/>
      <c r="R365" s="105"/>
    </row>
    <row r="366" spans="1:18" ht="18" thickBot="1">
      <c r="A366" s="95"/>
      <c r="B366" s="95"/>
      <c r="C366" s="95"/>
      <c r="D366" s="95"/>
      <c r="E366" s="95"/>
      <c r="F366" s="95"/>
      <c r="G366" s="95"/>
      <c r="H366" s="95"/>
      <c r="I366" s="95"/>
      <c r="J366" s="28" t="s">
        <v>74</v>
      </c>
      <c r="K366" s="95"/>
      <c r="L366" s="95"/>
      <c r="M366" s="95"/>
      <c r="N366" s="95"/>
      <c r="O366" s="95"/>
      <c r="P366" s="99"/>
      <c r="Q366" s="101"/>
      <c r="R366" s="105"/>
    </row>
    <row r="367" spans="1:18" ht="18" thickBot="1">
      <c r="A367" s="35" t="s">
        <v>20</v>
      </c>
      <c r="B367" s="28" t="s">
        <v>76</v>
      </c>
      <c r="C367" s="28">
        <v>1</v>
      </c>
      <c r="D367" s="30">
        <v>2769.57</v>
      </c>
      <c r="E367" s="30">
        <v>4390.3</v>
      </c>
      <c r="F367" s="30">
        <v>7159.87</v>
      </c>
      <c r="G367" s="30">
        <v>821.15</v>
      </c>
      <c r="H367" s="30">
        <v>1000</v>
      </c>
      <c r="I367" s="28" t="s">
        <v>77</v>
      </c>
      <c r="J367" s="30">
        <v>8981.02</v>
      </c>
      <c r="K367" s="30">
        <v>107772.24</v>
      </c>
      <c r="L367" s="30">
        <v>7159.87</v>
      </c>
      <c r="M367" s="30">
        <v>2386.62</v>
      </c>
      <c r="N367" s="30">
        <v>1014.76</v>
      </c>
      <c r="O367" s="30">
        <v>118333.49</v>
      </c>
      <c r="P367" s="102">
        <v>118333.49</v>
      </c>
      <c r="Q367" s="104"/>
      <c r="R367" s="26"/>
    </row>
    <row r="368" spans="1:18" ht="18" thickBot="1">
      <c r="A368" s="106" t="s">
        <v>78</v>
      </c>
      <c r="B368" s="107"/>
      <c r="C368" s="28"/>
      <c r="D368" s="30">
        <v>2769.57</v>
      </c>
      <c r="E368" s="30">
        <v>4390.3</v>
      </c>
      <c r="F368" s="30">
        <v>7159.87</v>
      </c>
      <c r="G368" s="30">
        <v>821.15</v>
      </c>
      <c r="H368" s="30">
        <v>1000</v>
      </c>
      <c r="I368" s="28" t="s">
        <v>77</v>
      </c>
      <c r="J368" s="30">
        <v>8981.02</v>
      </c>
      <c r="K368" s="30">
        <v>107772.24</v>
      </c>
      <c r="L368" s="30">
        <v>7159.87</v>
      </c>
      <c r="M368" s="30">
        <v>2386.62</v>
      </c>
      <c r="N368" s="30">
        <v>1014.76</v>
      </c>
      <c r="O368" s="30">
        <v>118333.49</v>
      </c>
      <c r="P368" s="102">
        <v>118333.49</v>
      </c>
      <c r="Q368" s="104"/>
      <c r="R368" s="26"/>
    </row>
    <row r="369" spans="1:18" ht="35" thickBot="1">
      <c r="A369" s="94" t="s">
        <v>44</v>
      </c>
      <c r="B369" s="94" t="s">
        <v>45</v>
      </c>
      <c r="C369" s="28" t="s">
        <v>46</v>
      </c>
      <c r="D369" s="28" t="s">
        <v>47</v>
      </c>
      <c r="E369" s="28" t="s">
        <v>48</v>
      </c>
      <c r="F369" s="28" t="s">
        <v>49</v>
      </c>
      <c r="G369" s="28" t="s">
        <v>50</v>
      </c>
      <c r="H369" s="28" t="s">
        <v>51</v>
      </c>
      <c r="I369" s="28" t="s">
        <v>52</v>
      </c>
      <c r="J369" s="28" t="s">
        <v>53</v>
      </c>
      <c r="K369" s="28" t="s">
        <v>88</v>
      </c>
      <c r="L369" s="28" t="s">
        <v>55</v>
      </c>
      <c r="M369" s="28" t="s">
        <v>56</v>
      </c>
      <c r="N369" s="28" t="s">
        <v>57</v>
      </c>
      <c r="O369" s="28" t="s">
        <v>58</v>
      </c>
      <c r="P369" s="99" t="s">
        <v>59</v>
      </c>
      <c r="Q369" s="100"/>
      <c r="R369" s="101"/>
    </row>
    <row r="370" spans="1:18" ht="17">
      <c r="A370" s="108"/>
      <c r="B370" s="108"/>
      <c r="C370" s="94" t="s">
        <v>60</v>
      </c>
      <c r="D370" s="94" t="s">
        <v>61</v>
      </c>
      <c r="E370" s="94" t="s">
        <v>62</v>
      </c>
      <c r="F370" s="94" t="s">
        <v>63</v>
      </c>
      <c r="G370" s="94" t="s">
        <v>64</v>
      </c>
      <c r="H370" s="94" t="s">
        <v>65</v>
      </c>
      <c r="I370" s="94" t="s">
        <v>66</v>
      </c>
      <c r="J370" s="27" t="s">
        <v>67</v>
      </c>
      <c r="K370" s="94" t="s">
        <v>89</v>
      </c>
      <c r="L370" s="94" t="s">
        <v>69</v>
      </c>
      <c r="M370" s="94" t="s">
        <v>70</v>
      </c>
      <c r="N370" s="94" t="s">
        <v>71</v>
      </c>
      <c r="O370" s="94" t="s">
        <v>72</v>
      </c>
      <c r="P370" s="96" t="s">
        <v>73</v>
      </c>
      <c r="Q370" s="97"/>
      <c r="R370" s="98"/>
    </row>
    <row r="371" spans="1:18" ht="18" thickBot="1">
      <c r="A371" s="95"/>
      <c r="B371" s="95"/>
      <c r="C371" s="95"/>
      <c r="D371" s="95"/>
      <c r="E371" s="95"/>
      <c r="F371" s="95"/>
      <c r="G371" s="95"/>
      <c r="H371" s="95"/>
      <c r="I371" s="95"/>
      <c r="J371" s="28" t="s">
        <v>74</v>
      </c>
      <c r="K371" s="95"/>
      <c r="L371" s="95"/>
      <c r="M371" s="95"/>
      <c r="N371" s="95"/>
      <c r="O371" s="95"/>
      <c r="P371" s="99"/>
      <c r="Q371" s="100"/>
      <c r="R371" s="101"/>
    </row>
    <row r="372" spans="1:18" ht="18" thickBot="1">
      <c r="A372" s="29" t="s">
        <v>21</v>
      </c>
      <c r="B372" s="28" t="s">
        <v>82</v>
      </c>
      <c r="C372" s="28">
        <v>1</v>
      </c>
      <c r="D372" s="30">
        <v>2182.59</v>
      </c>
      <c r="E372" s="30">
        <v>2604.88</v>
      </c>
      <c r="F372" s="30">
        <v>4787.47</v>
      </c>
      <c r="G372" s="30">
        <v>489.06</v>
      </c>
      <c r="H372" s="30">
        <v>1000</v>
      </c>
      <c r="I372" s="28" t="s">
        <v>77</v>
      </c>
      <c r="J372" s="30">
        <v>6276.53</v>
      </c>
      <c r="K372" s="30">
        <v>75318.36</v>
      </c>
      <c r="L372" s="30">
        <v>4787.47</v>
      </c>
      <c r="M372" s="30">
        <v>1595.82</v>
      </c>
      <c r="N372" s="30">
        <v>712.47</v>
      </c>
      <c r="O372" s="30">
        <v>82414.12</v>
      </c>
      <c r="P372" s="102">
        <v>82414.12</v>
      </c>
      <c r="Q372" s="103"/>
      <c r="R372" s="104"/>
    </row>
    <row r="373" spans="1:18" ht="18" thickBot="1">
      <c r="A373" s="92" t="s">
        <v>78</v>
      </c>
      <c r="B373" s="93"/>
      <c r="C373" s="28"/>
      <c r="D373" s="30">
        <v>2182.59</v>
      </c>
      <c r="E373" s="30">
        <v>2604.88</v>
      </c>
      <c r="F373" s="30">
        <v>4787.47</v>
      </c>
      <c r="G373" s="30">
        <v>489.06</v>
      </c>
      <c r="H373" s="30">
        <v>1000</v>
      </c>
      <c r="I373" s="28" t="s">
        <v>77</v>
      </c>
      <c r="J373" s="30">
        <v>6276.53</v>
      </c>
      <c r="K373" s="30">
        <v>75318.36</v>
      </c>
      <c r="L373" s="30">
        <v>4787.47</v>
      </c>
      <c r="M373" s="30">
        <v>1595.82</v>
      </c>
      <c r="N373" s="30">
        <v>712.47</v>
      </c>
      <c r="O373" s="30">
        <v>82414.12</v>
      </c>
      <c r="P373" s="102">
        <v>82414.12</v>
      </c>
      <c r="Q373" s="103"/>
      <c r="R373" s="104"/>
    </row>
    <row r="374" spans="1:18">
      <c r="A374" s="33"/>
    </row>
    <row r="375" spans="1:18">
      <c r="A375" s="16"/>
    </row>
    <row r="376" spans="1:18">
      <c r="A376" s="16"/>
    </row>
    <row r="377" spans="1:18">
      <c r="A377" s="16" t="s">
        <v>87</v>
      </c>
    </row>
    <row r="378" spans="1:18">
      <c r="A378" s="14" t="s">
        <v>42</v>
      </c>
    </row>
    <row r="379" spans="1:18">
      <c r="A379" s="14" t="s">
        <v>43</v>
      </c>
    </row>
    <row r="380" spans="1:18" ht="17" thickBot="1">
      <c r="A380" s="16" t="s">
        <v>99</v>
      </c>
    </row>
    <row r="381" spans="1:18" ht="35" thickBot="1">
      <c r="A381" s="94" t="s">
        <v>44</v>
      </c>
      <c r="B381" s="94" t="s">
        <v>45</v>
      </c>
      <c r="C381" s="23" t="s">
        <v>46</v>
      </c>
      <c r="D381" s="23" t="s">
        <v>47</v>
      </c>
      <c r="E381" s="23" t="s">
        <v>48</v>
      </c>
      <c r="F381" s="23" t="s">
        <v>49</v>
      </c>
      <c r="G381" s="23" t="s">
        <v>85</v>
      </c>
      <c r="H381" s="23" t="s">
        <v>51</v>
      </c>
      <c r="I381" s="23" t="s">
        <v>52</v>
      </c>
      <c r="J381" s="23" t="s">
        <v>53</v>
      </c>
      <c r="K381" s="23" t="s">
        <v>88</v>
      </c>
      <c r="L381" s="23" t="s">
        <v>55</v>
      </c>
      <c r="M381" s="23" t="s">
        <v>56</v>
      </c>
      <c r="N381" s="23" t="s">
        <v>57</v>
      </c>
      <c r="O381" s="23" t="s">
        <v>58</v>
      </c>
      <c r="P381" s="25" t="s">
        <v>59</v>
      </c>
      <c r="Q381" s="26"/>
      <c r="R381" s="26"/>
    </row>
    <row r="382" spans="1:18" ht="17">
      <c r="A382" s="108"/>
      <c r="B382" s="108"/>
      <c r="C382" s="94" t="s">
        <v>60</v>
      </c>
      <c r="D382" s="94" t="s">
        <v>61</v>
      </c>
      <c r="E382" s="94" t="s">
        <v>62</v>
      </c>
      <c r="F382" s="94" t="s">
        <v>63</v>
      </c>
      <c r="G382" s="94" t="s">
        <v>64</v>
      </c>
      <c r="H382" s="94" t="s">
        <v>65</v>
      </c>
      <c r="I382" s="94" t="s">
        <v>66</v>
      </c>
      <c r="J382" s="27" t="s">
        <v>67</v>
      </c>
      <c r="K382" s="27" t="s">
        <v>89</v>
      </c>
      <c r="L382" s="94" t="s">
        <v>69</v>
      </c>
      <c r="M382" s="94" t="s">
        <v>70</v>
      </c>
      <c r="N382" s="94" t="s">
        <v>71</v>
      </c>
      <c r="O382" s="94" t="s">
        <v>72</v>
      </c>
      <c r="P382" s="94" t="s">
        <v>73</v>
      </c>
      <c r="Q382" s="105"/>
      <c r="R382" s="109"/>
    </row>
    <row r="383" spans="1:18" ht="18" thickBot="1">
      <c r="A383" s="95"/>
      <c r="B383" s="95"/>
      <c r="C383" s="95"/>
      <c r="D383" s="95"/>
      <c r="E383" s="95"/>
      <c r="F383" s="95"/>
      <c r="G383" s="95"/>
      <c r="H383" s="95"/>
      <c r="I383" s="95"/>
      <c r="J383" s="28" t="s">
        <v>74</v>
      </c>
      <c r="K383" s="28" t="s">
        <v>75</v>
      </c>
      <c r="L383" s="95"/>
      <c r="M383" s="95"/>
      <c r="N383" s="95"/>
      <c r="O383" s="95"/>
      <c r="P383" s="95"/>
      <c r="Q383" s="105"/>
      <c r="R383" s="109"/>
    </row>
    <row r="384" spans="1:18" ht="18" thickBot="1">
      <c r="A384" s="29" t="s">
        <v>11</v>
      </c>
      <c r="B384" s="28" t="s">
        <v>76</v>
      </c>
      <c r="C384" s="28">
        <v>1</v>
      </c>
      <c r="D384" s="30">
        <v>2769.57</v>
      </c>
      <c r="E384" s="30">
        <v>4390.3</v>
      </c>
      <c r="F384" s="30">
        <v>7159.87</v>
      </c>
      <c r="G384" s="30">
        <v>821.15</v>
      </c>
      <c r="H384" s="30">
        <v>1000</v>
      </c>
      <c r="I384" s="28" t="s">
        <v>77</v>
      </c>
      <c r="J384" s="30">
        <v>8981.02</v>
      </c>
      <c r="K384" s="30">
        <v>107772.24</v>
      </c>
      <c r="L384" s="30">
        <v>7159.87</v>
      </c>
      <c r="M384" s="30">
        <v>2386.62</v>
      </c>
      <c r="N384" s="30">
        <v>1014.76</v>
      </c>
      <c r="O384" s="30">
        <v>118333.49</v>
      </c>
      <c r="P384" s="31">
        <v>118333.49</v>
      </c>
      <c r="Q384" s="26"/>
      <c r="R384" s="26"/>
    </row>
    <row r="385" spans="1:18" ht="18" thickBot="1">
      <c r="A385" s="106" t="s">
        <v>78</v>
      </c>
      <c r="B385" s="107"/>
      <c r="C385" s="28"/>
      <c r="D385" s="30">
        <v>2769.57</v>
      </c>
      <c r="E385" s="30">
        <v>4390.3</v>
      </c>
      <c r="F385" s="30">
        <v>7159.87</v>
      </c>
      <c r="G385" s="30">
        <v>821.15</v>
      </c>
      <c r="H385" s="30">
        <v>1000</v>
      </c>
      <c r="I385" s="28" t="s">
        <v>77</v>
      </c>
      <c r="J385" s="30">
        <v>8981.02</v>
      </c>
      <c r="K385" s="30">
        <v>107772.24</v>
      </c>
      <c r="L385" s="30">
        <v>7159.87</v>
      </c>
      <c r="M385" s="30">
        <v>2386.62</v>
      </c>
      <c r="N385" s="30">
        <v>1014.76</v>
      </c>
      <c r="O385" s="30">
        <v>118333.49</v>
      </c>
      <c r="P385" s="31">
        <v>118333.49</v>
      </c>
      <c r="Q385" s="26"/>
      <c r="R385" s="26"/>
    </row>
    <row r="386" spans="1:18" ht="35" thickBot="1">
      <c r="A386" s="94" t="s">
        <v>44</v>
      </c>
      <c r="B386" s="94" t="s">
        <v>45</v>
      </c>
      <c r="C386" s="28" t="s">
        <v>46</v>
      </c>
      <c r="D386" s="28" t="s">
        <v>47</v>
      </c>
      <c r="E386" s="28" t="s">
        <v>48</v>
      </c>
      <c r="F386" s="28" t="s">
        <v>49</v>
      </c>
      <c r="G386" s="28" t="s">
        <v>50</v>
      </c>
      <c r="H386" s="28" t="s">
        <v>51</v>
      </c>
      <c r="I386" s="28" t="s">
        <v>52</v>
      </c>
      <c r="J386" s="28" t="s">
        <v>53</v>
      </c>
      <c r="K386" s="28" t="s">
        <v>88</v>
      </c>
      <c r="L386" s="28" t="s">
        <v>55</v>
      </c>
      <c r="M386" s="28" t="s">
        <v>56</v>
      </c>
      <c r="N386" s="28" t="s">
        <v>57</v>
      </c>
      <c r="O386" s="28" t="s">
        <v>58</v>
      </c>
      <c r="P386" s="99" t="s">
        <v>59</v>
      </c>
      <c r="Q386" s="101"/>
      <c r="R386" s="26"/>
    </row>
    <row r="387" spans="1:18" ht="17">
      <c r="A387" s="108"/>
      <c r="B387" s="108"/>
      <c r="C387" s="94" t="s">
        <v>60</v>
      </c>
      <c r="D387" s="94" t="s">
        <v>61</v>
      </c>
      <c r="E387" s="94" t="s">
        <v>62</v>
      </c>
      <c r="F387" s="94" t="s">
        <v>63</v>
      </c>
      <c r="G387" s="94" t="s">
        <v>64</v>
      </c>
      <c r="H387" s="94" t="s">
        <v>65</v>
      </c>
      <c r="I387" s="94" t="s">
        <v>66</v>
      </c>
      <c r="J387" s="27" t="s">
        <v>67</v>
      </c>
      <c r="K387" s="27" t="s">
        <v>89</v>
      </c>
      <c r="L387" s="94" t="s">
        <v>69</v>
      </c>
      <c r="M387" s="94" t="s">
        <v>70</v>
      </c>
      <c r="N387" s="94" t="s">
        <v>71</v>
      </c>
      <c r="O387" s="94" t="s">
        <v>72</v>
      </c>
      <c r="P387" s="96" t="s">
        <v>73</v>
      </c>
      <c r="Q387" s="98"/>
      <c r="R387" s="105"/>
    </row>
    <row r="388" spans="1:18" ht="18" thickBot="1">
      <c r="A388" s="95"/>
      <c r="B388" s="95"/>
      <c r="C388" s="95"/>
      <c r="D388" s="95"/>
      <c r="E388" s="95"/>
      <c r="F388" s="95"/>
      <c r="G388" s="95"/>
      <c r="H388" s="95"/>
      <c r="I388" s="95"/>
      <c r="J388" s="28" t="s">
        <v>74</v>
      </c>
      <c r="K388" s="28" t="s">
        <v>75</v>
      </c>
      <c r="L388" s="95"/>
      <c r="M388" s="95"/>
      <c r="N388" s="95"/>
      <c r="O388" s="95"/>
      <c r="P388" s="99"/>
      <c r="Q388" s="101"/>
      <c r="R388" s="105"/>
    </row>
    <row r="389" spans="1:18" ht="18" thickBot="1">
      <c r="A389" s="29" t="s">
        <v>12</v>
      </c>
      <c r="B389" s="28" t="s">
        <v>76</v>
      </c>
      <c r="C389" s="28">
        <v>1</v>
      </c>
      <c r="D389" s="30">
        <v>2769.57</v>
      </c>
      <c r="E389" s="30">
        <v>4390.3</v>
      </c>
      <c r="F389" s="30">
        <v>7159.87</v>
      </c>
      <c r="G389" s="30">
        <v>821.15</v>
      </c>
      <c r="H389" s="30">
        <v>1000</v>
      </c>
      <c r="I389" s="28" t="s">
        <v>77</v>
      </c>
      <c r="J389" s="30">
        <v>8981.02</v>
      </c>
      <c r="K389" s="30">
        <v>107772.24</v>
      </c>
      <c r="L389" s="30">
        <v>7159.87</v>
      </c>
      <c r="M389" s="30">
        <v>2386.62</v>
      </c>
      <c r="N389" s="30">
        <v>1014.76</v>
      </c>
      <c r="O389" s="30">
        <v>118333.49</v>
      </c>
      <c r="P389" s="102">
        <v>118333.49</v>
      </c>
      <c r="Q389" s="104"/>
      <c r="R389" s="26"/>
    </row>
    <row r="390" spans="1:18" ht="18" thickBot="1">
      <c r="A390" s="106" t="s">
        <v>78</v>
      </c>
      <c r="B390" s="107"/>
      <c r="C390" s="28"/>
      <c r="D390" s="30">
        <v>2769.57</v>
      </c>
      <c r="E390" s="30">
        <v>4390.3</v>
      </c>
      <c r="F390" s="30">
        <v>7159.87</v>
      </c>
      <c r="G390" s="30">
        <v>821.15</v>
      </c>
      <c r="H390" s="30">
        <v>1000</v>
      </c>
      <c r="I390" s="28" t="s">
        <v>77</v>
      </c>
      <c r="J390" s="30">
        <v>8981.02</v>
      </c>
      <c r="K390" s="30">
        <v>107772.24</v>
      </c>
      <c r="L390" s="30">
        <v>7159.87</v>
      </c>
      <c r="M390" s="30">
        <v>2386.62</v>
      </c>
      <c r="N390" s="30">
        <v>1014.76</v>
      </c>
      <c r="O390" s="30">
        <v>118333.49</v>
      </c>
      <c r="P390" s="102">
        <v>118333.49</v>
      </c>
      <c r="Q390" s="104"/>
      <c r="R390" s="26"/>
    </row>
    <row r="391" spans="1:18" ht="35" thickBot="1">
      <c r="A391" s="94" t="s">
        <v>44</v>
      </c>
      <c r="B391" s="94" t="s">
        <v>45</v>
      </c>
      <c r="C391" s="28" t="s">
        <v>46</v>
      </c>
      <c r="D391" s="28" t="s">
        <v>47</v>
      </c>
      <c r="E391" s="28" t="s">
        <v>80</v>
      </c>
      <c r="F391" s="28" t="s">
        <v>49</v>
      </c>
      <c r="G391" s="28" t="s">
        <v>50</v>
      </c>
      <c r="H391" s="28" t="s">
        <v>51</v>
      </c>
      <c r="I391" s="28" t="s">
        <v>52</v>
      </c>
      <c r="J391" s="28" t="s">
        <v>53</v>
      </c>
      <c r="K391" s="28" t="s">
        <v>88</v>
      </c>
      <c r="L391" s="28" t="s">
        <v>55</v>
      </c>
      <c r="M391" s="28" t="s">
        <v>56</v>
      </c>
      <c r="N391" s="28" t="s">
        <v>57</v>
      </c>
      <c r="O391" s="28" t="s">
        <v>58</v>
      </c>
      <c r="P391" s="99" t="s">
        <v>59</v>
      </c>
      <c r="Q391" s="100"/>
      <c r="R391" s="101"/>
    </row>
    <row r="392" spans="1:18" ht="17">
      <c r="A392" s="108"/>
      <c r="B392" s="108"/>
      <c r="C392" s="94" t="s">
        <v>60</v>
      </c>
      <c r="D392" s="94" t="s">
        <v>61</v>
      </c>
      <c r="E392" s="94" t="s">
        <v>62</v>
      </c>
      <c r="F392" s="94" t="s">
        <v>63</v>
      </c>
      <c r="G392" s="94" t="s">
        <v>64</v>
      </c>
      <c r="H392" s="94" t="s">
        <v>65</v>
      </c>
      <c r="I392" s="94" t="s">
        <v>66</v>
      </c>
      <c r="J392" s="27" t="s">
        <v>67</v>
      </c>
      <c r="K392" s="27" t="s">
        <v>89</v>
      </c>
      <c r="L392" s="94" t="s">
        <v>69</v>
      </c>
      <c r="M392" s="94" t="s">
        <v>70</v>
      </c>
      <c r="N392" s="94" t="s">
        <v>71</v>
      </c>
      <c r="O392" s="94" t="s">
        <v>72</v>
      </c>
      <c r="P392" s="96" t="s">
        <v>73</v>
      </c>
      <c r="Q392" s="97"/>
      <c r="R392" s="98"/>
    </row>
    <row r="393" spans="1:18" ht="18" thickBot="1">
      <c r="A393" s="95"/>
      <c r="B393" s="95"/>
      <c r="C393" s="95"/>
      <c r="D393" s="95"/>
      <c r="E393" s="95"/>
      <c r="F393" s="95"/>
      <c r="G393" s="95"/>
      <c r="H393" s="95"/>
      <c r="I393" s="95"/>
      <c r="J393" s="28" t="s">
        <v>74</v>
      </c>
      <c r="K393" s="28" t="s">
        <v>75</v>
      </c>
      <c r="L393" s="95"/>
      <c r="M393" s="95"/>
      <c r="N393" s="95"/>
      <c r="O393" s="95"/>
      <c r="P393" s="99"/>
      <c r="Q393" s="100"/>
      <c r="R393" s="101"/>
    </row>
    <row r="394" spans="1:18" ht="18" thickBot="1">
      <c r="A394" s="29" t="s">
        <v>81</v>
      </c>
      <c r="B394" s="28" t="s">
        <v>76</v>
      </c>
      <c r="C394" s="28">
        <v>34</v>
      </c>
      <c r="D394" s="30">
        <v>6397.19</v>
      </c>
      <c r="E394" s="30">
        <v>7356.77</v>
      </c>
      <c r="F394" s="30">
        <v>13753.96</v>
      </c>
      <c r="G394" s="30">
        <v>1782.62</v>
      </c>
      <c r="H394" s="30">
        <v>1000</v>
      </c>
      <c r="I394" s="28" t="s">
        <v>77</v>
      </c>
      <c r="J394" s="30">
        <v>16536.580000000002</v>
      </c>
      <c r="K394" s="30">
        <v>198438.96</v>
      </c>
      <c r="L394" s="30">
        <v>13753.96</v>
      </c>
      <c r="M394" s="30">
        <v>4584.66</v>
      </c>
      <c r="N394" s="30">
        <v>2243.29</v>
      </c>
      <c r="O394" s="30">
        <v>219020.87</v>
      </c>
      <c r="P394" s="102">
        <v>7446709.5800000001</v>
      </c>
      <c r="Q394" s="103"/>
      <c r="R394" s="104"/>
    </row>
    <row r="395" spans="1:18" ht="18" thickBot="1">
      <c r="A395" s="92" t="s">
        <v>78</v>
      </c>
      <c r="B395" s="93"/>
      <c r="C395" s="28"/>
      <c r="D395" s="30">
        <v>6397.19</v>
      </c>
      <c r="E395" s="30">
        <v>7356.77</v>
      </c>
      <c r="F395" s="30">
        <v>13753.96</v>
      </c>
      <c r="G395" s="30">
        <v>1782.62</v>
      </c>
      <c r="H395" s="30">
        <v>1000</v>
      </c>
      <c r="I395" s="28" t="s">
        <v>77</v>
      </c>
      <c r="J395" s="30">
        <v>16536.580000000002</v>
      </c>
      <c r="K395" s="30">
        <v>198438.96</v>
      </c>
      <c r="L395" s="30">
        <v>13753.96</v>
      </c>
      <c r="M395" s="30">
        <v>4584.66</v>
      </c>
      <c r="N395" s="30">
        <v>2243.29</v>
      </c>
      <c r="O395" s="30">
        <v>219020.87</v>
      </c>
      <c r="P395" s="102">
        <v>7446709.5800000001</v>
      </c>
      <c r="Q395" s="103"/>
      <c r="R395" s="104"/>
    </row>
    <row r="396" spans="1:18">
      <c r="A396" s="16"/>
    </row>
    <row r="397" spans="1:18">
      <c r="A397" s="16" t="s">
        <v>99</v>
      </c>
    </row>
    <row r="398" spans="1:18" ht="17" thickBot="1">
      <c r="A398" s="16"/>
    </row>
    <row r="399" spans="1:18" ht="35" thickBot="1">
      <c r="A399" s="94" t="s">
        <v>44</v>
      </c>
      <c r="B399" s="94" t="s">
        <v>45</v>
      </c>
      <c r="C399" s="23" t="s">
        <v>46</v>
      </c>
      <c r="D399" s="23" t="s">
        <v>47</v>
      </c>
      <c r="E399" s="23" t="s">
        <v>48</v>
      </c>
      <c r="F399" s="23" t="s">
        <v>49</v>
      </c>
      <c r="G399" s="23" t="s">
        <v>50</v>
      </c>
      <c r="H399" s="23" t="s">
        <v>51</v>
      </c>
      <c r="I399" s="23" t="s">
        <v>52</v>
      </c>
      <c r="J399" s="23" t="s">
        <v>53</v>
      </c>
      <c r="K399" s="23" t="s">
        <v>88</v>
      </c>
      <c r="L399" s="23" t="s">
        <v>55</v>
      </c>
      <c r="M399" s="23" t="s">
        <v>56</v>
      </c>
      <c r="N399" s="23" t="s">
        <v>57</v>
      </c>
      <c r="O399" s="23" t="s">
        <v>58</v>
      </c>
      <c r="P399" s="25" t="s">
        <v>59</v>
      </c>
      <c r="Q399" s="26"/>
      <c r="R399" s="26"/>
    </row>
    <row r="400" spans="1:18" ht="17">
      <c r="A400" s="108"/>
      <c r="B400" s="108"/>
      <c r="C400" s="94" t="s">
        <v>60</v>
      </c>
      <c r="D400" s="94" t="s">
        <v>61</v>
      </c>
      <c r="E400" s="94" t="s">
        <v>62</v>
      </c>
      <c r="F400" s="94" t="s">
        <v>63</v>
      </c>
      <c r="G400" s="94" t="s">
        <v>64</v>
      </c>
      <c r="H400" s="94" t="s">
        <v>65</v>
      </c>
      <c r="I400" s="94" t="s">
        <v>66</v>
      </c>
      <c r="J400" s="27" t="s">
        <v>67</v>
      </c>
      <c r="K400" s="27" t="s">
        <v>89</v>
      </c>
      <c r="L400" s="94" t="s">
        <v>69</v>
      </c>
      <c r="M400" s="94" t="s">
        <v>70</v>
      </c>
      <c r="N400" s="94" t="s">
        <v>71</v>
      </c>
      <c r="O400" s="94" t="s">
        <v>72</v>
      </c>
      <c r="P400" s="94" t="s">
        <v>73</v>
      </c>
      <c r="Q400" s="105"/>
      <c r="R400" s="109"/>
    </row>
    <row r="401" spans="1:18" ht="18" thickBot="1">
      <c r="A401" s="95"/>
      <c r="B401" s="95"/>
      <c r="C401" s="95"/>
      <c r="D401" s="95"/>
      <c r="E401" s="95"/>
      <c r="F401" s="95"/>
      <c r="G401" s="95"/>
      <c r="H401" s="95"/>
      <c r="I401" s="95"/>
      <c r="J401" s="28" t="s">
        <v>74</v>
      </c>
      <c r="K401" s="28" t="s">
        <v>75</v>
      </c>
      <c r="L401" s="95"/>
      <c r="M401" s="95"/>
      <c r="N401" s="95"/>
      <c r="O401" s="95"/>
      <c r="P401" s="95"/>
      <c r="Q401" s="105"/>
      <c r="R401" s="109"/>
    </row>
    <row r="402" spans="1:18" ht="18" thickBot="1">
      <c r="A402" s="29" t="s">
        <v>14</v>
      </c>
      <c r="B402" s="28" t="s">
        <v>76</v>
      </c>
      <c r="C402" s="28">
        <v>2</v>
      </c>
      <c r="D402" s="30">
        <v>2769.57</v>
      </c>
      <c r="E402" s="30">
        <v>4390.3</v>
      </c>
      <c r="F402" s="30">
        <v>7159.87</v>
      </c>
      <c r="G402" s="30">
        <v>821.15</v>
      </c>
      <c r="H402" s="30">
        <v>1000</v>
      </c>
      <c r="I402" s="28" t="s">
        <v>77</v>
      </c>
      <c r="J402" s="30">
        <v>8981.02</v>
      </c>
      <c r="K402" s="30">
        <v>107772.24</v>
      </c>
      <c r="L402" s="30">
        <v>7159.87</v>
      </c>
      <c r="M402" s="30">
        <v>2386.62</v>
      </c>
      <c r="N402" s="30">
        <v>1014.76</v>
      </c>
      <c r="O402" s="30">
        <v>118333.49</v>
      </c>
      <c r="P402" s="31">
        <v>236666.98</v>
      </c>
      <c r="Q402" s="26"/>
      <c r="R402" s="26"/>
    </row>
    <row r="403" spans="1:18" ht="18" thickBot="1">
      <c r="A403" s="106" t="s">
        <v>78</v>
      </c>
      <c r="B403" s="107"/>
      <c r="C403" s="28"/>
      <c r="D403" s="30">
        <v>2769.57</v>
      </c>
      <c r="E403" s="30">
        <v>4390.3</v>
      </c>
      <c r="F403" s="30">
        <v>7159.87</v>
      </c>
      <c r="G403" s="30">
        <v>821.15</v>
      </c>
      <c r="H403" s="30">
        <v>1000</v>
      </c>
      <c r="I403" s="28" t="s">
        <v>77</v>
      </c>
      <c r="J403" s="30">
        <v>8981.02</v>
      </c>
      <c r="K403" s="30">
        <v>107772.24</v>
      </c>
      <c r="L403" s="30">
        <v>7159.87</v>
      </c>
      <c r="M403" s="30">
        <v>2386.62</v>
      </c>
      <c r="N403" s="30">
        <v>1014.76</v>
      </c>
      <c r="O403" s="30">
        <v>118333.49</v>
      </c>
      <c r="P403" s="31">
        <v>236666.98</v>
      </c>
      <c r="Q403" s="26"/>
      <c r="R403" s="26"/>
    </row>
    <row r="404" spans="1:18" ht="35" thickBot="1">
      <c r="A404" s="94" t="s">
        <v>44</v>
      </c>
      <c r="B404" s="94" t="s">
        <v>45</v>
      </c>
      <c r="C404" s="28" t="s">
        <v>46</v>
      </c>
      <c r="D404" s="28" t="s">
        <v>47</v>
      </c>
      <c r="E404" s="28" t="s">
        <v>48</v>
      </c>
      <c r="F404" s="28" t="s">
        <v>49</v>
      </c>
      <c r="G404" s="28" t="s">
        <v>50</v>
      </c>
      <c r="H404" s="28" t="s">
        <v>51</v>
      </c>
      <c r="I404" s="28" t="s">
        <v>52</v>
      </c>
      <c r="J404" s="28" t="s">
        <v>53</v>
      </c>
      <c r="K404" s="28" t="s">
        <v>88</v>
      </c>
      <c r="L404" s="28" t="s">
        <v>55</v>
      </c>
      <c r="M404" s="28" t="s">
        <v>56</v>
      </c>
      <c r="N404" s="28" t="s">
        <v>57</v>
      </c>
      <c r="O404" s="28" t="s">
        <v>58</v>
      </c>
      <c r="P404" s="99" t="s">
        <v>59</v>
      </c>
      <c r="Q404" s="101"/>
      <c r="R404" s="26"/>
    </row>
    <row r="405" spans="1:18" ht="17">
      <c r="A405" s="108"/>
      <c r="B405" s="108"/>
      <c r="C405" s="94" t="s">
        <v>60</v>
      </c>
      <c r="D405" s="94" t="s">
        <v>61</v>
      </c>
      <c r="E405" s="94" t="s">
        <v>62</v>
      </c>
      <c r="F405" s="94" t="s">
        <v>63</v>
      </c>
      <c r="G405" s="94" t="s">
        <v>64</v>
      </c>
      <c r="H405" s="94" t="s">
        <v>65</v>
      </c>
      <c r="I405" s="94" t="s">
        <v>66</v>
      </c>
      <c r="J405" s="27" t="s">
        <v>67</v>
      </c>
      <c r="K405" s="27" t="s">
        <v>89</v>
      </c>
      <c r="L405" s="94" t="s">
        <v>69</v>
      </c>
      <c r="M405" s="94" t="s">
        <v>70</v>
      </c>
      <c r="N405" s="94" t="s">
        <v>71</v>
      </c>
      <c r="O405" s="94" t="s">
        <v>72</v>
      </c>
      <c r="P405" s="96" t="s">
        <v>73</v>
      </c>
      <c r="Q405" s="98"/>
      <c r="R405" s="105"/>
    </row>
    <row r="406" spans="1:18" ht="18" thickBot="1">
      <c r="A406" s="95"/>
      <c r="B406" s="95"/>
      <c r="C406" s="95"/>
      <c r="D406" s="95"/>
      <c r="E406" s="95"/>
      <c r="F406" s="95"/>
      <c r="G406" s="95"/>
      <c r="H406" s="95"/>
      <c r="I406" s="95"/>
      <c r="J406" s="28" t="s">
        <v>74</v>
      </c>
      <c r="K406" s="28" t="s">
        <v>75</v>
      </c>
      <c r="L406" s="95"/>
      <c r="M406" s="95"/>
      <c r="N406" s="95"/>
      <c r="O406" s="95"/>
      <c r="P406" s="99"/>
      <c r="Q406" s="101"/>
      <c r="R406" s="105"/>
    </row>
    <row r="407" spans="1:18" ht="18" thickBot="1">
      <c r="A407" s="29" t="s">
        <v>22</v>
      </c>
      <c r="B407" s="28" t="s">
        <v>76</v>
      </c>
      <c r="C407" s="28">
        <v>2</v>
      </c>
      <c r="D407" s="30">
        <v>2769.57</v>
      </c>
      <c r="E407" s="30">
        <v>4390.3</v>
      </c>
      <c r="F407" s="30">
        <v>7159.87</v>
      </c>
      <c r="G407" s="30">
        <v>821.15</v>
      </c>
      <c r="H407" s="30">
        <v>1000</v>
      </c>
      <c r="I407" s="28" t="s">
        <v>77</v>
      </c>
      <c r="J407" s="30">
        <v>8981.02</v>
      </c>
      <c r="K407" s="30">
        <v>107772.24</v>
      </c>
      <c r="L407" s="30">
        <v>7159.87</v>
      </c>
      <c r="M407" s="30">
        <v>2386.62</v>
      </c>
      <c r="N407" s="30">
        <v>1014.76</v>
      </c>
      <c r="O407" s="30">
        <v>118333.49</v>
      </c>
      <c r="P407" s="102">
        <v>236666.98</v>
      </c>
      <c r="Q407" s="104"/>
      <c r="R407" s="26"/>
    </row>
    <row r="408" spans="1:18" ht="18" thickBot="1">
      <c r="A408" s="106" t="s">
        <v>78</v>
      </c>
      <c r="B408" s="107"/>
      <c r="C408" s="28"/>
      <c r="D408" s="30">
        <v>2769.57</v>
      </c>
      <c r="E408" s="30">
        <v>4390.3</v>
      </c>
      <c r="F408" s="30">
        <v>7159.87</v>
      </c>
      <c r="G408" s="30">
        <v>821.15</v>
      </c>
      <c r="H408" s="30">
        <v>1000</v>
      </c>
      <c r="I408" s="28" t="s">
        <v>77</v>
      </c>
      <c r="J408" s="30">
        <v>8981.02</v>
      </c>
      <c r="K408" s="30">
        <v>107772.24</v>
      </c>
      <c r="L408" s="30">
        <v>7159.87</v>
      </c>
      <c r="M408" s="30">
        <v>2386.62</v>
      </c>
      <c r="N408" s="30">
        <v>1014.76</v>
      </c>
      <c r="O408" s="30">
        <v>118333.49</v>
      </c>
      <c r="P408" s="102">
        <v>236666.98</v>
      </c>
      <c r="Q408" s="104"/>
      <c r="R408" s="26"/>
    </row>
    <row r="409" spans="1:18" ht="35" thickBot="1">
      <c r="A409" s="94" t="s">
        <v>44</v>
      </c>
      <c r="B409" s="94" t="s">
        <v>45</v>
      </c>
      <c r="C409" s="28" t="s">
        <v>46</v>
      </c>
      <c r="D409" s="28" t="s">
        <v>47</v>
      </c>
      <c r="E409" s="28" t="s">
        <v>48</v>
      </c>
      <c r="F409" s="28" t="s">
        <v>49</v>
      </c>
      <c r="G409" s="28" t="s">
        <v>85</v>
      </c>
      <c r="H409" s="28" t="s">
        <v>51</v>
      </c>
      <c r="I409" s="28" t="s">
        <v>52</v>
      </c>
      <c r="J409" s="28" t="s">
        <v>53</v>
      </c>
      <c r="K409" s="28" t="s">
        <v>88</v>
      </c>
      <c r="L409" s="28" t="s">
        <v>55</v>
      </c>
      <c r="M409" s="28" t="s">
        <v>56</v>
      </c>
      <c r="N409" s="28" t="s">
        <v>57</v>
      </c>
      <c r="O409" s="28" t="s">
        <v>58</v>
      </c>
      <c r="P409" s="99" t="s">
        <v>59</v>
      </c>
      <c r="Q409" s="100"/>
      <c r="R409" s="101"/>
    </row>
    <row r="410" spans="1:18" ht="17">
      <c r="A410" s="108"/>
      <c r="B410" s="108"/>
      <c r="C410" s="94" t="s">
        <v>60</v>
      </c>
      <c r="D410" s="94" t="s">
        <v>61</v>
      </c>
      <c r="E410" s="94" t="s">
        <v>62</v>
      </c>
      <c r="F410" s="94" t="s">
        <v>63</v>
      </c>
      <c r="G410" s="94" t="s">
        <v>64</v>
      </c>
      <c r="H410" s="94" t="s">
        <v>65</v>
      </c>
      <c r="I410" s="94" t="s">
        <v>66</v>
      </c>
      <c r="J410" s="27" t="s">
        <v>67</v>
      </c>
      <c r="K410" s="27" t="s">
        <v>89</v>
      </c>
      <c r="L410" s="94" t="s">
        <v>69</v>
      </c>
      <c r="M410" s="94" t="s">
        <v>70</v>
      </c>
      <c r="N410" s="94" t="s">
        <v>71</v>
      </c>
      <c r="O410" s="94" t="s">
        <v>72</v>
      </c>
      <c r="P410" s="96" t="s">
        <v>73</v>
      </c>
      <c r="Q410" s="97"/>
      <c r="R410" s="98"/>
    </row>
    <row r="411" spans="1:18" ht="18" thickBot="1">
      <c r="A411" s="95"/>
      <c r="B411" s="95"/>
      <c r="C411" s="95"/>
      <c r="D411" s="95"/>
      <c r="E411" s="95"/>
      <c r="F411" s="95"/>
      <c r="G411" s="95"/>
      <c r="H411" s="95"/>
      <c r="I411" s="95"/>
      <c r="J411" s="28" t="s">
        <v>74</v>
      </c>
      <c r="K411" s="28" t="s">
        <v>75</v>
      </c>
      <c r="L411" s="95"/>
      <c r="M411" s="95"/>
      <c r="N411" s="95"/>
      <c r="O411" s="95"/>
      <c r="P411" s="99"/>
      <c r="Q411" s="100"/>
      <c r="R411" s="101"/>
    </row>
    <row r="412" spans="1:18" ht="18" thickBot="1">
      <c r="A412" s="29" t="s">
        <v>23</v>
      </c>
      <c r="B412" s="28" t="s">
        <v>76</v>
      </c>
      <c r="C412" s="28">
        <v>1</v>
      </c>
      <c r="D412" s="30">
        <v>2769.57</v>
      </c>
      <c r="E412" s="30">
        <v>4390.3</v>
      </c>
      <c r="F412" s="30">
        <v>7159.87</v>
      </c>
      <c r="G412" s="30">
        <v>821.15</v>
      </c>
      <c r="H412" s="30">
        <v>1000</v>
      </c>
      <c r="I412" s="28" t="s">
        <v>77</v>
      </c>
      <c r="J412" s="30">
        <v>8981.02</v>
      </c>
      <c r="K412" s="30">
        <v>107772.24</v>
      </c>
      <c r="L412" s="30">
        <v>7159.87</v>
      </c>
      <c r="M412" s="30">
        <v>2386.62</v>
      </c>
      <c r="N412" s="30">
        <v>1014.76</v>
      </c>
      <c r="O412" s="30">
        <v>118333.49</v>
      </c>
      <c r="P412" s="102">
        <v>118333.49</v>
      </c>
      <c r="Q412" s="103"/>
      <c r="R412" s="104"/>
    </row>
    <row r="413" spans="1:18" ht="18" thickBot="1">
      <c r="A413" s="92" t="s">
        <v>78</v>
      </c>
      <c r="B413" s="93"/>
      <c r="C413" s="28"/>
      <c r="D413" s="30">
        <v>2769.57</v>
      </c>
      <c r="E413" s="30">
        <v>4390.3</v>
      </c>
      <c r="F413" s="30">
        <v>7159.87</v>
      </c>
      <c r="G413" s="30">
        <v>821.15</v>
      </c>
      <c r="H413" s="30">
        <v>1000</v>
      </c>
      <c r="I413" s="28" t="s">
        <v>77</v>
      </c>
      <c r="J413" s="30">
        <v>8981.02</v>
      </c>
      <c r="K413" s="30">
        <v>107772.24</v>
      </c>
      <c r="L413" s="30">
        <v>7159.87</v>
      </c>
      <c r="M413" s="30">
        <v>2386.62</v>
      </c>
      <c r="N413" s="30">
        <v>1014.76</v>
      </c>
      <c r="O413" s="30">
        <v>118333.49</v>
      </c>
      <c r="P413" s="102">
        <v>118333.49</v>
      </c>
      <c r="Q413" s="103"/>
      <c r="R413" s="104"/>
    </row>
    <row r="414" spans="1:18">
      <c r="A414" s="32"/>
    </row>
    <row r="415" spans="1:18">
      <c r="A415" s="16"/>
    </row>
    <row r="416" spans="1:18">
      <c r="A416" s="16"/>
    </row>
    <row r="417" spans="1:18">
      <c r="A417" s="16" t="s">
        <v>99</v>
      </c>
    </row>
    <row r="418" spans="1:18" ht="17" thickBot="1">
      <c r="A418" s="24"/>
    </row>
    <row r="419" spans="1:18" ht="35" thickBot="1">
      <c r="A419" s="94" t="s">
        <v>44</v>
      </c>
      <c r="B419" s="94" t="s">
        <v>45</v>
      </c>
      <c r="C419" s="23" t="s">
        <v>46</v>
      </c>
      <c r="D419" s="23" t="s">
        <v>47</v>
      </c>
      <c r="E419" s="23" t="s">
        <v>48</v>
      </c>
      <c r="F419" s="23" t="s">
        <v>49</v>
      </c>
      <c r="G419" s="23" t="s">
        <v>50</v>
      </c>
      <c r="H419" s="23" t="s">
        <v>51</v>
      </c>
      <c r="I419" s="23" t="s">
        <v>52</v>
      </c>
      <c r="J419" s="23" t="s">
        <v>53</v>
      </c>
      <c r="K419" s="23" t="s">
        <v>88</v>
      </c>
      <c r="L419" s="23" t="s">
        <v>55</v>
      </c>
      <c r="M419" s="23" t="s">
        <v>56</v>
      </c>
      <c r="N419" s="23" t="s">
        <v>57</v>
      </c>
      <c r="O419" s="23" t="s">
        <v>58</v>
      </c>
      <c r="P419" s="25" t="s">
        <v>59</v>
      </c>
      <c r="Q419" s="26"/>
      <c r="R419" s="26"/>
    </row>
    <row r="420" spans="1:18" ht="17">
      <c r="A420" s="108"/>
      <c r="B420" s="108"/>
      <c r="C420" s="94" t="s">
        <v>60</v>
      </c>
      <c r="D420" s="94" t="s">
        <v>61</v>
      </c>
      <c r="E420" s="94" t="s">
        <v>62</v>
      </c>
      <c r="F420" s="94" t="s">
        <v>63</v>
      </c>
      <c r="G420" s="94" t="s">
        <v>64</v>
      </c>
      <c r="H420" s="94" t="s">
        <v>65</v>
      </c>
      <c r="I420" s="94" t="s">
        <v>66</v>
      </c>
      <c r="J420" s="27" t="s">
        <v>67</v>
      </c>
      <c r="K420" s="27" t="s">
        <v>89</v>
      </c>
      <c r="L420" s="94" t="s">
        <v>69</v>
      </c>
      <c r="M420" s="94" t="s">
        <v>70</v>
      </c>
      <c r="N420" s="94" t="s">
        <v>71</v>
      </c>
      <c r="O420" s="94" t="s">
        <v>72</v>
      </c>
      <c r="P420" s="94" t="s">
        <v>73</v>
      </c>
      <c r="Q420" s="105"/>
      <c r="R420" s="109"/>
    </row>
    <row r="421" spans="1:18" ht="18" thickBot="1">
      <c r="A421" s="95"/>
      <c r="B421" s="95"/>
      <c r="C421" s="95"/>
      <c r="D421" s="95"/>
      <c r="E421" s="95"/>
      <c r="F421" s="95"/>
      <c r="G421" s="95"/>
      <c r="H421" s="95"/>
      <c r="I421" s="95"/>
      <c r="J421" s="28" t="s">
        <v>74</v>
      </c>
      <c r="K421" s="28" t="s">
        <v>75</v>
      </c>
      <c r="L421" s="95"/>
      <c r="M421" s="95"/>
      <c r="N421" s="95"/>
      <c r="O421" s="95"/>
      <c r="P421" s="95"/>
      <c r="Q421" s="105"/>
      <c r="R421" s="109"/>
    </row>
    <row r="422" spans="1:18" ht="18" thickBot="1">
      <c r="A422" s="29" t="s">
        <v>24</v>
      </c>
      <c r="B422" s="28" t="s">
        <v>76</v>
      </c>
      <c r="C422" s="28">
        <v>1</v>
      </c>
      <c r="D422" s="30">
        <v>2769.57</v>
      </c>
      <c r="E422" s="30">
        <v>4390.3</v>
      </c>
      <c r="F422" s="30">
        <v>7159.87</v>
      </c>
      <c r="G422" s="30">
        <v>821.15</v>
      </c>
      <c r="H422" s="30">
        <v>1000</v>
      </c>
      <c r="I422" s="28" t="s">
        <v>77</v>
      </c>
      <c r="J422" s="30">
        <v>8981.02</v>
      </c>
      <c r="K422" s="30">
        <v>107772.24</v>
      </c>
      <c r="L422" s="30">
        <v>7159.87</v>
      </c>
      <c r="M422" s="30">
        <v>2386.62</v>
      </c>
      <c r="N422" s="30">
        <v>1014.76</v>
      </c>
      <c r="O422" s="30">
        <v>118333.49</v>
      </c>
      <c r="P422" s="31">
        <v>118333.49</v>
      </c>
      <c r="Q422" s="26"/>
      <c r="R422" s="26"/>
    </row>
    <row r="423" spans="1:18" ht="18" thickBot="1">
      <c r="A423" s="106" t="s">
        <v>78</v>
      </c>
      <c r="B423" s="107"/>
      <c r="C423" s="28"/>
      <c r="D423" s="30">
        <v>2769.57</v>
      </c>
      <c r="E423" s="30">
        <v>4390.3</v>
      </c>
      <c r="F423" s="30">
        <v>7159.87</v>
      </c>
      <c r="G423" s="30">
        <v>821.15</v>
      </c>
      <c r="H423" s="30">
        <v>1000</v>
      </c>
      <c r="I423" s="28" t="s">
        <v>77</v>
      </c>
      <c r="J423" s="30">
        <v>8981.02</v>
      </c>
      <c r="K423" s="30">
        <v>107772.24</v>
      </c>
      <c r="L423" s="30">
        <v>7159.87</v>
      </c>
      <c r="M423" s="30">
        <v>2386.62</v>
      </c>
      <c r="N423" s="30">
        <v>1014.76</v>
      </c>
      <c r="O423" s="30">
        <v>118333.49</v>
      </c>
      <c r="P423" s="31">
        <v>118333.49</v>
      </c>
      <c r="Q423" s="26"/>
      <c r="R423" s="26"/>
    </row>
    <row r="424" spans="1:18" ht="35" thickBot="1">
      <c r="A424" s="94" t="s">
        <v>44</v>
      </c>
      <c r="B424" s="94" t="s">
        <v>45</v>
      </c>
      <c r="C424" s="28" t="s">
        <v>46</v>
      </c>
      <c r="D424" s="28" t="s">
        <v>47</v>
      </c>
      <c r="E424" s="28" t="s">
        <v>48</v>
      </c>
      <c r="F424" s="28" t="s">
        <v>49</v>
      </c>
      <c r="G424" s="28" t="s">
        <v>50</v>
      </c>
      <c r="H424" s="28" t="s">
        <v>51</v>
      </c>
      <c r="I424" s="28" t="s">
        <v>52</v>
      </c>
      <c r="J424" s="28" t="s">
        <v>53</v>
      </c>
      <c r="K424" s="28" t="s">
        <v>88</v>
      </c>
      <c r="L424" s="28" t="s">
        <v>55</v>
      </c>
      <c r="M424" s="28" t="s">
        <v>56</v>
      </c>
      <c r="N424" s="28" t="s">
        <v>57</v>
      </c>
      <c r="O424" s="28" t="s">
        <v>58</v>
      </c>
      <c r="P424" s="99" t="s">
        <v>59</v>
      </c>
      <c r="Q424" s="101"/>
      <c r="R424" s="26"/>
    </row>
    <row r="425" spans="1:18" ht="17">
      <c r="A425" s="108"/>
      <c r="B425" s="108"/>
      <c r="C425" s="94" t="s">
        <v>60</v>
      </c>
      <c r="D425" s="94" t="s">
        <v>61</v>
      </c>
      <c r="E425" s="94" t="s">
        <v>62</v>
      </c>
      <c r="F425" s="94" t="s">
        <v>63</v>
      </c>
      <c r="G425" s="94" t="s">
        <v>64</v>
      </c>
      <c r="H425" s="94" t="s">
        <v>65</v>
      </c>
      <c r="I425" s="94" t="s">
        <v>66</v>
      </c>
      <c r="J425" s="27" t="s">
        <v>67</v>
      </c>
      <c r="K425" s="27" t="s">
        <v>89</v>
      </c>
      <c r="L425" s="94" t="s">
        <v>69</v>
      </c>
      <c r="M425" s="94" t="s">
        <v>70</v>
      </c>
      <c r="N425" s="94" t="s">
        <v>71</v>
      </c>
      <c r="O425" s="94" t="s">
        <v>72</v>
      </c>
      <c r="P425" s="96" t="s">
        <v>73</v>
      </c>
      <c r="Q425" s="98"/>
      <c r="R425" s="105"/>
    </row>
    <row r="426" spans="1:18" ht="18" thickBot="1">
      <c r="A426" s="95"/>
      <c r="B426" s="95"/>
      <c r="C426" s="95"/>
      <c r="D426" s="95"/>
      <c r="E426" s="95"/>
      <c r="F426" s="95"/>
      <c r="G426" s="95"/>
      <c r="H426" s="95"/>
      <c r="I426" s="95"/>
      <c r="J426" s="28" t="s">
        <v>74</v>
      </c>
      <c r="K426" s="28" t="s">
        <v>75</v>
      </c>
      <c r="L426" s="95"/>
      <c r="M426" s="95"/>
      <c r="N426" s="95"/>
      <c r="O426" s="95"/>
      <c r="P426" s="99"/>
      <c r="Q426" s="101"/>
      <c r="R426" s="105"/>
    </row>
    <row r="427" spans="1:18" ht="18" thickBot="1">
      <c r="A427" s="29" t="s">
        <v>25</v>
      </c>
      <c r="B427" s="28" t="s">
        <v>76</v>
      </c>
      <c r="C427" s="28">
        <v>2</v>
      </c>
      <c r="D427" s="30">
        <v>2769.57</v>
      </c>
      <c r="E427" s="30">
        <v>4390.3</v>
      </c>
      <c r="F427" s="30">
        <v>7159.87</v>
      </c>
      <c r="G427" s="30">
        <v>821.15</v>
      </c>
      <c r="H427" s="30">
        <v>1000</v>
      </c>
      <c r="I427" s="28" t="s">
        <v>77</v>
      </c>
      <c r="J427" s="30">
        <v>8981.02</v>
      </c>
      <c r="K427" s="30">
        <v>107772.24</v>
      </c>
      <c r="L427" s="30">
        <v>7159.87</v>
      </c>
      <c r="M427" s="30">
        <v>2386.62</v>
      </c>
      <c r="N427" s="30">
        <v>1014.76</v>
      </c>
      <c r="O427" s="30">
        <v>118333.49</v>
      </c>
      <c r="P427" s="102">
        <v>236666.98</v>
      </c>
      <c r="Q427" s="104"/>
      <c r="R427" s="26"/>
    </row>
    <row r="428" spans="1:18" ht="18" thickBot="1">
      <c r="A428" s="106" t="s">
        <v>78</v>
      </c>
      <c r="B428" s="107"/>
      <c r="C428" s="28"/>
      <c r="D428" s="30">
        <v>2769.57</v>
      </c>
      <c r="E428" s="30">
        <v>4390.3</v>
      </c>
      <c r="F428" s="30">
        <v>7159.87</v>
      </c>
      <c r="G428" s="30">
        <v>821.15</v>
      </c>
      <c r="H428" s="30">
        <v>1000</v>
      </c>
      <c r="I428" s="28" t="s">
        <v>77</v>
      </c>
      <c r="J428" s="30">
        <v>8981.02</v>
      </c>
      <c r="K428" s="30">
        <v>107772.24</v>
      </c>
      <c r="L428" s="30">
        <v>7159.87</v>
      </c>
      <c r="M428" s="30">
        <v>2386.62</v>
      </c>
      <c r="N428" s="30">
        <v>1014.76</v>
      </c>
      <c r="O428" s="30">
        <v>118333.49</v>
      </c>
      <c r="P428" s="102">
        <v>236666.98</v>
      </c>
      <c r="Q428" s="104"/>
      <c r="R428" s="26"/>
    </row>
    <row r="429" spans="1:18" ht="35" thickBot="1">
      <c r="A429" s="94" t="s">
        <v>44</v>
      </c>
      <c r="B429" s="94" t="s">
        <v>45</v>
      </c>
      <c r="C429" s="28" t="s">
        <v>46</v>
      </c>
      <c r="D429" s="28" t="s">
        <v>47</v>
      </c>
      <c r="E429" s="28" t="s">
        <v>48</v>
      </c>
      <c r="F429" s="28" t="s">
        <v>49</v>
      </c>
      <c r="G429" s="28" t="s">
        <v>85</v>
      </c>
      <c r="H429" s="28" t="s">
        <v>51</v>
      </c>
      <c r="I429" s="28" t="s">
        <v>52</v>
      </c>
      <c r="J429" s="28" t="s">
        <v>53</v>
      </c>
      <c r="K429" s="28" t="s">
        <v>88</v>
      </c>
      <c r="L429" s="28" t="s">
        <v>55</v>
      </c>
      <c r="M429" s="28" t="s">
        <v>56</v>
      </c>
      <c r="N429" s="28" t="s">
        <v>57</v>
      </c>
      <c r="O429" s="28" t="s">
        <v>58</v>
      </c>
      <c r="P429" s="99" t="s">
        <v>59</v>
      </c>
      <c r="Q429" s="100"/>
      <c r="R429" s="101"/>
    </row>
    <row r="430" spans="1:18" ht="17">
      <c r="A430" s="108"/>
      <c r="B430" s="108"/>
      <c r="C430" s="94" t="s">
        <v>60</v>
      </c>
      <c r="D430" s="94" t="s">
        <v>61</v>
      </c>
      <c r="E430" s="94" t="s">
        <v>62</v>
      </c>
      <c r="F430" s="94" t="s">
        <v>63</v>
      </c>
      <c r="G430" s="94" t="s">
        <v>64</v>
      </c>
      <c r="H430" s="94" t="s">
        <v>65</v>
      </c>
      <c r="I430" s="94" t="s">
        <v>66</v>
      </c>
      <c r="J430" s="27" t="s">
        <v>67</v>
      </c>
      <c r="K430" s="27" t="s">
        <v>89</v>
      </c>
      <c r="L430" s="94" t="s">
        <v>69</v>
      </c>
      <c r="M430" s="94" t="s">
        <v>70</v>
      </c>
      <c r="N430" s="94" t="s">
        <v>71</v>
      </c>
      <c r="O430" s="94" t="s">
        <v>72</v>
      </c>
      <c r="P430" s="96" t="s">
        <v>73</v>
      </c>
      <c r="Q430" s="97"/>
      <c r="R430" s="98"/>
    </row>
    <row r="431" spans="1:18" ht="18" thickBot="1">
      <c r="A431" s="95"/>
      <c r="B431" s="95"/>
      <c r="C431" s="95"/>
      <c r="D431" s="95"/>
      <c r="E431" s="95"/>
      <c r="F431" s="95"/>
      <c r="G431" s="95"/>
      <c r="H431" s="95"/>
      <c r="I431" s="95"/>
      <c r="J431" s="28" t="s">
        <v>74</v>
      </c>
      <c r="K431" s="28" t="s">
        <v>75</v>
      </c>
      <c r="L431" s="95"/>
      <c r="M431" s="95"/>
      <c r="N431" s="95"/>
      <c r="O431" s="95"/>
      <c r="P431" s="99"/>
      <c r="Q431" s="100"/>
      <c r="R431" s="101"/>
    </row>
    <row r="432" spans="1:18" ht="18" thickBot="1">
      <c r="A432" s="29" t="s">
        <v>26</v>
      </c>
      <c r="B432" s="28" t="s">
        <v>76</v>
      </c>
      <c r="C432" s="28">
        <v>1</v>
      </c>
      <c r="D432" s="30">
        <v>2769.57</v>
      </c>
      <c r="E432" s="30">
        <v>4390.3</v>
      </c>
      <c r="F432" s="30">
        <v>7159.87</v>
      </c>
      <c r="G432" s="30">
        <v>821.15</v>
      </c>
      <c r="H432" s="30">
        <v>1000</v>
      </c>
      <c r="I432" s="28" t="s">
        <v>77</v>
      </c>
      <c r="J432" s="30">
        <v>8981.02</v>
      </c>
      <c r="K432" s="30">
        <v>107772.24</v>
      </c>
      <c r="L432" s="30">
        <v>7159.87</v>
      </c>
      <c r="M432" s="30">
        <v>2386.62</v>
      </c>
      <c r="N432" s="30">
        <v>1014.76</v>
      </c>
      <c r="O432" s="30">
        <v>118333.49</v>
      </c>
      <c r="P432" s="102">
        <v>118333.49</v>
      </c>
      <c r="Q432" s="103"/>
      <c r="R432" s="104"/>
    </row>
    <row r="433" spans="1:18" ht="18" thickBot="1">
      <c r="A433" s="92" t="s">
        <v>78</v>
      </c>
      <c r="B433" s="93"/>
      <c r="C433" s="28"/>
      <c r="D433" s="30">
        <v>2769.57</v>
      </c>
      <c r="E433" s="30">
        <v>4390.3</v>
      </c>
      <c r="F433" s="30">
        <v>7159.87</v>
      </c>
      <c r="G433" s="30">
        <v>821.15</v>
      </c>
      <c r="H433" s="30">
        <v>1000</v>
      </c>
      <c r="I433" s="28" t="s">
        <v>77</v>
      </c>
      <c r="J433" s="30">
        <v>8981.02</v>
      </c>
      <c r="K433" s="30">
        <v>107772.24</v>
      </c>
      <c r="L433" s="30">
        <v>7159.87</v>
      </c>
      <c r="M433" s="30">
        <v>2386.62</v>
      </c>
      <c r="N433" s="30">
        <v>1014.76</v>
      </c>
      <c r="O433" s="30">
        <v>118333.49</v>
      </c>
      <c r="P433" s="102">
        <v>118333.49</v>
      </c>
      <c r="Q433" s="103"/>
      <c r="R433" s="104"/>
    </row>
    <row r="434" spans="1:18">
      <c r="A434" s="33"/>
    </row>
    <row r="435" spans="1:18">
      <c r="A435" s="33"/>
    </row>
    <row r="436" spans="1:18">
      <c r="A436" s="33"/>
    </row>
    <row r="437" spans="1:18">
      <c r="A437" s="16" t="s">
        <v>99</v>
      </c>
    </row>
    <row r="438" spans="1:18" ht="17" thickBot="1">
      <c r="A438" s="16"/>
    </row>
    <row r="439" spans="1:18" ht="35" thickBot="1">
      <c r="A439" s="94" t="s">
        <v>44</v>
      </c>
      <c r="B439" s="94" t="s">
        <v>45</v>
      </c>
      <c r="C439" s="23" t="s">
        <v>46</v>
      </c>
      <c r="D439" s="23" t="s">
        <v>47</v>
      </c>
      <c r="E439" s="23" t="s">
        <v>48</v>
      </c>
      <c r="F439" s="23" t="s">
        <v>49</v>
      </c>
      <c r="G439" s="23" t="s">
        <v>50</v>
      </c>
      <c r="H439" s="23" t="s">
        <v>51</v>
      </c>
      <c r="I439" s="23" t="s">
        <v>52</v>
      </c>
      <c r="J439" s="23" t="s">
        <v>53</v>
      </c>
      <c r="K439" s="23" t="s">
        <v>88</v>
      </c>
      <c r="L439" s="23" t="s">
        <v>55</v>
      </c>
      <c r="M439" s="23" t="s">
        <v>56</v>
      </c>
      <c r="N439" s="23" t="s">
        <v>57</v>
      </c>
      <c r="O439" s="23" t="s">
        <v>58</v>
      </c>
      <c r="P439" s="25" t="s">
        <v>59</v>
      </c>
      <c r="Q439" s="26"/>
      <c r="R439" s="26"/>
    </row>
    <row r="440" spans="1:18" ht="17">
      <c r="A440" s="108"/>
      <c r="B440" s="108"/>
      <c r="C440" s="94" t="s">
        <v>60</v>
      </c>
      <c r="D440" s="94" t="s">
        <v>61</v>
      </c>
      <c r="E440" s="94" t="s">
        <v>62</v>
      </c>
      <c r="F440" s="94" t="s">
        <v>63</v>
      </c>
      <c r="G440" s="94" t="s">
        <v>64</v>
      </c>
      <c r="H440" s="94" t="s">
        <v>65</v>
      </c>
      <c r="I440" s="94" t="s">
        <v>66</v>
      </c>
      <c r="J440" s="27" t="s">
        <v>67</v>
      </c>
      <c r="K440" s="27" t="s">
        <v>89</v>
      </c>
      <c r="L440" s="94" t="s">
        <v>69</v>
      </c>
      <c r="M440" s="94" t="s">
        <v>70</v>
      </c>
      <c r="N440" s="94" t="s">
        <v>71</v>
      </c>
      <c r="O440" s="94" t="s">
        <v>72</v>
      </c>
      <c r="P440" s="94" t="s">
        <v>73</v>
      </c>
      <c r="Q440" s="105"/>
      <c r="R440" s="109"/>
    </row>
    <row r="441" spans="1:18" ht="18" thickBot="1">
      <c r="A441" s="95"/>
      <c r="B441" s="95"/>
      <c r="C441" s="95"/>
      <c r="D441" s="95"/>
      <c r="E441" s="95"/>
      <c r="F441" s="95"/>
      <c r="G441" s="95"/>
      <c r="H441" s="95"/>
      <c r="I441" s="95"/>
      <c r="J441" s="28" t="s">
        <v>74</v>
      </c>
      <c r="K441" s="28" t="s">
        <v>75</v>
      </c>
      <c r="L441" s="95"/>
      <c r="M441" s="95"/>
      <c r="N441" s="95"/>
      <c r="O441" s="95"/>
      <c r="P441" s="95"/>
      <c r="Q441" s="105"/>
      <c r="R441" s="109"/>
    </row>
    <row r="442" spans="1:18" ht="18" thickBot="1">
      <c r="A442" s="29" t="s">
        <v>27</v>
      </c>
      <c r="B442" s="28" t="s">
        <v>82</v>
      </c>
      <c r="C442" s="28">
        <v>5</v>
      </c>
      <c r="D442" s="30">
        <v>2182.59</v>
      </c>
      <c r="E442" s="30">
        <v>2604.88</v>
      </c>
      <c r="F442" s="30">
        <v>4787.47</v>
      </c>
      <c r="G442" s="30">
        <v>489.06</v>
      </c>
      <c r="H442" s="30">
        <v>1000</v>
      </c>
      <c r="I442" s="28" t="s">
        <v>77</v>
      </c>
      <c r="J442" s="30">
        <v>6276.53</v>
      </c>
      <c r="K442" s="30">
        <v>75318.36</v>
      </c>
      <c r="L442" s="30">
        <v>4787.47</v>
      </c>
      <c r="M442" s="30">
        <v>1595.82</v>
      </c>
      <c r="N442" s="30">
        <v>712.47</v>
      </c>
      <c r="O442" s="30">
        <v>82414.12</v>
      </c>
      <c r="P442" s="31">
        <v>412070.6</v>
      </c>
      <c r="Q442" s="26"/>
      <c r="R442" s="26"/>
    </row>
    <row r="443" spans="1:18" ht="18" thickBot="1">
      <c r="A443" s="106" t="s">
        <v>78</v>
      </c>
      <c r="B443" s="107"/>
      <c r="C443" s="28"/>
      <c r="D443" s="30">
        <v>2182.59</v>
      </c>
      <c r="E443" s="30">
        <v>2604.88</v>
      </c>
      <c r="F443" s="30">
        <v>4787.47</v>
      </c>
      <c r="G443" s="30">
        <v>489.06</v>
      </c>
      <c r="H443" s="30">
        <v>1000</v>
      </c>
      <c r="I443" s="28" t="s">
        <v>77</v>
      </c>
      <c r="J443" s="30">
        <v>6276.53</v>
      </c>
      <c r="K443" s="30">
        <v>75318.36</v>
      </c>
      <c r="L443" s="30">
        <v>4787.47</v>
      </c>
      <c r="M443" s="30">
        <v>1595.82</v>
      </c>
      <c r="N443" s="30">
        <v>712.47</v>
      </c>
      <c r="O443" s="30">
        <v>82414.12</v>
      </c>
      <c r="P443" s="31">
        <v>412070.6</v>
      </c>
      <c r="Q443" s="26"/>
      <c r="R443" s="26"/>
    </row>
    <row r="444" spans="1:18" ht="35" thickBot="1">
      <c r="A444" s="94" t="s">
        <v>44</v>
      </c>
      <c r="B444" s="94" t="s">
        <v>45</v>
      </c>
      <c r="C444" s="28" t="s">
        <v>46</v>
      </c>
      <c r="D444" s="28" t="s">
        <v>47</v>
      </c>
      <c r="E444" s="28" t="s">
        <v>48</v>
      </c>
      <c r="F444" s="28" t="s">
        <v>49</v>
      </c>
      <c r="G444" s="28" t="s">
        <v>50</v>
      </c>
      <c r="H444" s="28" t="s">
        <v>51</v>
      </c>
      <c r="I444" s="28" t="s">
        <v>52</v>
      </c>
      <c r="J444" s="28" t="s">
        <v>53</v>
      </c>
      <c r="K444" s="28" t="s">
        <v>88</v>
      </c>
      <c r="L444" s="28" t="s">
        <v>55</v>
      </c>
      <c r="M444" s="28" t="s">
        <v>56</v>
      </c>
      <c r="N444" s="28" t="s">
        <v>57</v>
      </c>
      <c r="O444" s="28" t="s">
        <v>58</v>
      </c>
      <c r="P444" s="99" t="s">
        <v>59</v>
      </c>
      <c r="Q444" s="101"/>
      <c r="R444" s="26"/>
    </row>
    <row r="445" spans="1:18" ht="17">
      <c r="A445" s="108"/>
      <c r="B445" s="108"/>
      <c r="C445" s="94" t="s">
        <v>60</v>
      </c>
      <c r="D445" s="94" t="s">
        <v>61</v>
      </c>
      <c r="E445" s="94" t="s">
        <v>62</v>
      </c>
      <c r="F445" s="94" t="s">
        <v>63</v>
      </c>
      <c r="G445" s="94" t="s">
        <v>64</v>
      </c>
      <c r="H445" s="94" t="s">
        <v>65</v>
      </c>
      <c r="I445" s="94" t="s">
        <v>66</v>
      </c>
      <c r="J445" s="27" t="s">
        <v>67</v>
      </c>
      <c r="K445" s="27" t="s">
        <v>89</v>
      </c>
      <c r="L445" s="94" t="s">
        <v>69</v>
      </c>
      <c r="M445" s="94" t="s">
        <v>70</v>
      </c>
      <c r="N445" s="94" t="s">
        <v>71</v>
      </c>
      <c r="O445" s="94" t="s">
        <v>72</v>
      </c>
      <c r="P445" s="96" t="s">
        <v>73</v>
      </c>
      <c r="Q445" s="98"/>
      <c r="R445" s="105"/>
    </row>
    <row r="446" spans="1:18" ht="18" thickBot="1">
      <c r="A446" s="95"/>
      <c r="B446" s="95"/>
      <c r="C446" s="95"/>
      <c r="D446" s="95"/>
      <c r="E446" s="95"/>
      <c r="F446" s="95"/>
      <c r="G446" s="95"/>
      <c r="H446" s="95"/>
      <c r="I446" s="95"/>
      <c r="J446" s="28" t="s">
        <v>74</v>
      </c>
      <c r="K446" s="28" t="s">
        <v>75</v>
      </c>
      <c r="L446" s="95"/>
      <c r="M446" s="95"/>
      <c r="N446" s="95"/>
      <c r="O446" s="95"/>
      <c r="P446" s="99"/>
      <c r="Q446" s="101"/>
      <c r="R446" s="105"/>
    </row>
    <row r="447" spans="1:18" ht="17">
      <c r="A447" s="34" t="s">
        <v>83</v>
      </c>
      <c r="B447" s="94" t="s">
        <v>82</v>
      </c>
      <c r="C447" s="94">
        <v>4</v>
      </c>
      <c r="D447" s="111">
        <v>2182.59</v>
      </c>
      <c r="E447" s="111">
        <v>2604.88</v>
      </c>
      <c r="F447" s="111">
        <v>4787.47</v>
      </c>
      <c r="G447" s="111">
        <v>489.06</v>
      </c>
      <c r="H447" s="111">
        <v>1000</v>
      </c>
      <c r="I447" s="94" t="s">
        <v>77</v>
      </c>
      <c r="J447" s="111">
        <v>6276.53</v>
      </c>
      <c r="K447" s="111">
        <v>75318.36</v>
      </c>
      <c r="L447" s="111">
        <v>4787.47</v>
      </c>
      <c r="M447" s="111">
        <v>1595.82</v>
      </c>
      <c r="N447" s="111">
        <v>712.47</v>
      </c>
      <c r="O447" s="111">
        <v>82414.12</v>
      </c>
      <c r="P447" s="113">
        <v>329656.48</v>
      </c>
      <c r="Q447" s="114"/>
      <c r="R447" s="105"/>
    </row>
    <row r="448" spans="1:18" ht="18" thickBot="1">
      <c r="A448" s="29" t="s">
        <v>84</v>
      </c>
      <c r="B448" s="95"/>
      <c r="C448" s="95"/>
      <c r="D448" s="112"/>
      <c r="E448" s="112"/>
      <c r="F448" s="112"/>
      <c r="G448" s="112"/>
      <c r="H448" s="112"/>
      <c r="I448" s="95"/>
      <c r="J448" s="112"/>
      <c r="K448" s="112"/>
      <c r="L448" s="112"/>
      <c r="M448" s="112"/>
      <c r="N448" s="112"/>
      <c r="O448" s="112"/>
      <c r="P448" s="115"/>
      <c r="Q448" s="116"/>
      <c r="R448" s="105"/>
    </row>
    <row r="449" spans="1:18" ht="18" thickBot="1">
      <c r="A449" s="106" t="s">
        <v>78</v>
      </c>
      <c r="B449" s="107"/>
      <c r="C449" s="28"/>
      <c r="D449" s="30">
        <v>2182.59</v>
      </c>
      <c r="E449" s="30">
        <v>2604.88</v>
      </c>
      <c r="F449" s="30">
        <v>4787.47</v>
      </c>
      <c r="G449" s="30">
        <v>489.06</v>
      </c>
      <c r="H449" s="30">
        <v>1000</v>
      </c>
      <c r="I449" s="28" t="s">
        <v>77</v>
      </c>
      <c r="J449" s="30">
        <v>6276.53</v>
      </c>
      <c r="K449" s="30">
        <v>75318.36</v>
      </c>
      <c r="L449" s="30">
        <v>4787.47</v>
      </c>
      <c r="M449" s="30">
        <v>1595.82</v>
      </c>
      <c r="N449" s="30">
        <v>712.47</v>
      </c>
      <c r="O449" s="30">
        <v>82414.12</v>
      </c>
      <c r="P449" s="102">
        <v>329656.48</v>
      </c>
      <c r="Q449" s="104"/>
      <c r="R449" s="26"/>
    </row>
    <row r="450" spans="1:18" ht="35" thickBot="1">
      <c r="A450" s="94" t="s">
        <v>44</v>
      </c>
      <c r="B450" s="94" t="s">
        <v>45</v>
      </c>
      <c r="C450" s="28" t="s">
        <v>46</v>
      </c>
      <c r="D450" s="28" t="s">
        <v>47</v>
      </c>
      <c r="E450" s="28" t="s">
        <v>48</v>
      </c>
      <c r="F450" s="28" t="s">
        <v>49</v>
      </c>
      <c r="G450" s="28" t="s">
        <v>50</v>
      </c>
      <c r="H450" s="28" t="s">
        <v>51</v>
      </c>
      <c r="I450" s="28" t="s">
        <v>52</v>
      </c>
      <c r="J450" s="28" t="s">
        <v>53</v>
      </c>
      <c r="K450" s="28" t="s">
        <v>88</v>
      </c>
      <c r="L450" s="28" t="s">
        <v>55</v>
      </c>
      <c r="M450" s="28" t="s">
        <v>56</v>
      </c>
      <c r="N450" s="28" t="s">
        <v>57</v>
      </c>
      <c r="O450" s="28" t="s">
        <v>58</v>
      </c>
      <c r="P450" s="99" t="s">
        <v>59</v>
      </c>
      <c r="Q450" s="100"/>
      <c r="R450" s="101"/>
    </row>
    <row r="451" spans="1:18" ht="17">
      <c r="A451" s="108"/>
      <c r="B451" s="108"/>
      <c r="C451" s="94" t="s">
        <v>60</v>
      </c>
      <c r="D451" s="94" t="s">
        <v>61</v>
      </c>
      <c r="E451" s="94" t="s">
        <v>62</v>
      </c>
      <c r="F451" s="94" t="s">
        <v>63</v>
      </c>
      <c r="G451" s="94" t="s">
        <v>64</v>
      </c>
      <c r="H451" s="94" t="s">
        <v>65</v>
      </c>
      <c r="I451" s="94" t="s">
        <v>66</v>
      </c>
      <c r="J451" s="27" t="s">
        <v>67</v>
      </c>
      <c r="K451" s="27" t="s">
        <v>89</v>
      </c>
      <c r="L451" s="94" t="s">
        <v>69</v>
      </c>
      <c r="M451" s="94" t="s">
        <v>70</v>
      </c>
      <c r="N451" s="94" t="s">
        <v>71</v>
      </c>
      <c r="O451" s="94" t="s">
        <v>72</v>
      </c>
      <c r="P451" s="96" t="s">
        <v>73</v>
      </c>
      <c r="Q451" s="97"/>
      <c r="R451" s="98"/>
    </row>
    <row r="452" spans="1:18" ht="18" thickBot="1">
      <c r="A452" s="95"/>
      <c r="B452" s="95"/>
      <c r="C452" s="95"/>
      <c r="D452" s="95"/>
      <c r="E452" s="95"/>
      <c r="F452" s="95"/>
      <c r="G452" s="95"/>
      <c r="H452" s="95"/>
      <c r="I452" s="95"/>
      <c r="J452" s="28" t="s">
        <v>74</v>
      </c>
      <c r="K452" s="28" t="s">
        <v>75</v>
      </c>
      <c r="L452" s="95"/>
      <c r="M452" s="95"/>
      <c r="N452" s="95"/>
      <c r="O452" s="95"/>
      <c r="P452" s="99"/>
      <c r="Q452" s="100"/>
      <c r="R452" s="101"/>
    </row>
    <row r="453" spans="1:18" ht="18" thickBot="1">
      <c r="A453" s="29" t="s">
        <v>29</v>
      </c>
      <c r="B453" s="28" t="s">
        <v>82</v>
      </c>
      <c r="C453" s="28">
        <v>1</v>
      </c>
      <c r="D453" s="30">
        <v>2182.59</v>
      </c>
      <c r="E453" s="30">
        <v>2604.88</v>
      </c>
      <c r="F453" s="30">
        <v>4787.47</v>
      </c>
      <c r="G453" s="30">
        <v>489.06</v>
      </c>
      <c r="H453" s="30">
        <v>1000</v>
      </c>
      <c r="I453" s="28" t="s">
        <v>77</v>
      </c>
      <c r="J453" s="30">
        <v>6276.53</v>
      </c>
      <c r="K453" s="30">
        <v>75318.36</v>
      </c>
      <c r="L453" s="30">
        <v>4787.47</v>
      </c>
      <c r="M453" s="30">
        <v>1595.82</v>
      </c>
      <c r="N453" s="30">
        <v>712.47</v>
      </c>
      <c r="O453" s="30">
        <v>82414.12</v>
      </c>
      <c r="P453" s="102">
        <v>82414.12</v>
      </c>
      <c r="Q453" s="103"/>
      <c r="R453" s="104"/>
    </row>
    <row r="454" spans="1:18" ht="18" thickBot="1">
      <c r="A454" s="92" t="s">
        <v>78</v>
      </c>
      <c r="B454" s="93"/>
      <c r="C454" s="28"/>
      <c r="D454" s="30">
        <v>2182.59</v>
      </c>
      <c r="E454" s="30">
        <v>2604.88</v>
      </c>
      <c r="F454" s="30">
        <v>4787.47</v>
      </c>
      <c r="G454" s="30">
        <v>489.06</v>
      </c>
      <c r="H454" s="30">
        <v>1000</v>
      </c>
      <c r="I454" s="28" t="s">
        <v>77</v>
      </c>
      <c r="J454" s="30">
        <v>6276.53</v>
      </c>
      <c r="K454" s="30">
        <v>75318.36</v>
      </c>
      <c r="L454" s="30">
        <v>4787.47</v>
      </c>
      <c r="M454" s="30">
        <v>1595.82</v>
      </c>
      <c r="N454" s="30">
        <v>712.47</v>
      </c>
      <c r="O454" s="30">
        <v>82414.12</v>
      </c>
      <c r="P454" s="102">
        <v>82414.12</v>
      </c>
      <c r="Q454" s="103"/>
      <c r="R454" s="104"/>
    </row>
    <row r="455" spans="1:18" ht="35" thickBot="1">
      <c r="A455" s="94" t="s">
        <v>44</v>
      </c>
      <c r="B455" s="94" t="s">
        <v>45</v>
      </c>
      <c r="C455" s="28" t="s">
        <v>46</v>
      </c>
      <c r="D455" s="28" t="s">
        <v>47</v>
      </c>
      <c r="E455" s="28" t="s">
        <v>48</v>
      </c>
      <c r="F455" s="28" t="s">
        <v>49</v>
      </c>
      <c r="G455" s="28" t="s">
        <v>50</v>
      </c>
      <c r="H455" s="28" t="s">
        <v>51</v>
      </c>
      <c r="I455" s="28" t="s">
        <v>52</v>
      </c>
      <c r="J455" s="28" t="s">
        <v>53</v>
      </c>
      <c r="K455" s="28" t="s">
        <v>88</v>
      </c>
      <c r="L455" s="28" t="s">
        <v>55</v>
      </c>
      <c r="M455" s="28" t="s">
        <v>56</v>
      </c>
      <c r="N455" s="28" t="s">
        <v>57</v>
      </c>
      <c r="O455" s="28" t="s">
        <v>58</v>
      </c>
      <c r="P455" s="92" t="s">
        <v>59</v>
      </c>
      <c r="Q455" s="110"/>
      <c r="R455" s="93"/>
    </row>
    <row r="456" spans="1:18" ht="17">
      <c r="A456" s="108"/>
      <c r="B456" s="108"/>
      <c r="C456" s="94" t="s">
        <v>60</v>
      </c>
      <c r="D456" s="94" t="s">
        <v>61</v>
      </c>
      <c r="E456" s="94" t="s">
        <v>62</v>
      </c>
      <c r="F456" s="94" t="s">
        <v>63</v>
      </c>
      <c r="G456" s="94" t="s">
        <v>64</v>
      </c>
      <c r="H456" s="94" t="s">
        <v>65</v>
      </c>
      <c r="I456" s="94" t="s">
        <v>66</v>
      </c>
      <c r="J456" s="27" t="s">
        <v>67</v>
      </c>
      <c r="K456" s="27" t="s">
        <v>89</v>
      </c>
      <c r="L456" s="94" t="s">
        <v>69</v>
      </c>
      <c r="M456" s="94" t="s">
        <v>70</v>
      </c>
      <c r="N456" s="94" t="s">
        <v>71</v>
      </c>
      <c r="O456" s="94" t="s">
        <v>72</v>
      </c>
      <c r="P456" s="96" t="s">
        <v>73</v>
      </c>
      <c r="Q456" s="97"/>
      <c r="R456" s="98"/>
    </row>
    <row r="457" spans="1:18" ht="18" thickBot="1">
      <c r="A457" s="95"/>
      <c r="B457" s="95"/>
      <c r="C457" s="95"/>
      <c r="D457" s="95"/>
      <c r="E457" s="95"/>
      <c r="F457" s="95"/>
      <c r="G457" s="95"/>
      <c r="H457" s="95"/>
      <c r="I457" s="95"/>
      <c r="J457" s="28" t="s">
        <v>74</v>
      </c>
      <c r="K457" s="28" t="s">
        <v>75</v>
      </c>
      <c r="L457" s="95"/>
      <c r="M457" s="95"/>
      <c r="N457" s="95"/>
      <c r="O457" s="95"/>
      <c r="P457" s="99"/>
      <c r="Q457" s="100"/>
      <c r="R457" s="101"/>
    </row>
    <row r="458" spans="1:18" ht="18" thickBot="1">
      <c r="A458" s="29" t="s">
        <v>30</v>
      </c>
      <c r="B458" s="28" t="s">
        <v>82</v>
      </c>
      <c r="C458" s="28">
        <v>15</v>
      </c>
      <c r="D458" s="30">
        <v>2182.59</v>
      </c>
      <c r="E458" s="30">
        <v>2604.88</v>
      </c>
      <c r="F458" s="30">
        <v>4787.47</v>
      </c>
      <c r="G458" s="30">
        <v>489.06</v>
      </c>
      <c r="H458" s="30">
        <v>1000</v>
      </c>
      <c r="I458" s="28" t="s">
        <v>77</v>
      </c>
      <c r="J458" s="30">
        <v>6276.53</v>
      </c>
      <c r="K458" s="30">
        <v>75318.36</v>
      </c>
      <c r="L458" s="30">
        <v>4787.47</v>
      </c>
      <c r="M458" s="30">
        <v>1595.82</v>
      </c>
      <c r="N458" s="30">
        <v>712.47</v>
      </c>
      <c r="O458" s="30">
        <v>82414.12</v>
      </c>
      <c r="P458" s="102">
        <v>1236211.8</v>
      </c>
      <c r="Q458" s="103"/>
      <c r="R458" s="104"/>
    </row>
    <row r="459" spans="1:18" ht="18" thickBot="1">
      <c r="A459" s="106" t="s">
        <v>78</v>
      </c>
      <c r="B459" s="107"/>
      <c r="C459" s="28"/>
      <c r="D459" s="30">
        <v>2182.59</v>
      </c>
      <c r="E459" s="30">
        <v>2604.88</v>
      </c>
      <c r="F459" s="30">
        <v>4787.47</v>
      </c>
      <c r="G459" s="30">
        <v>489.06</v>
      </c>
      <c r="H459" s="30">
        <v>1000</v>
      </c>
      <c r="I459" s="28" t="s">
        <v>77</v>
      </c>
      <c r="J459" s="30">
        <v>6276.53</v>
      </c>
      <c r="K459" s="30">
        <v>75318.36</v>
      </c>
      <c r="L459" s="30">
        <v>4787.47</v>
      </c>
      <c r="M459" s="30">
        <v>1595.82</v>
      </c>
      <c r="N459" s="30">
        <v>712.47</v>
      </c>
      <c r="O459" s="30">
        <v>82414.12</v>
      </c>
      <c r="P459" s="102">
        <v>1236211.8</v>
      </c>
      <c r="Q459" s="103"/>
      <c r="R459" s="104"/>
    </row>
    <row r="460" spans="1:18">
      <c r="A460" s="32"/>
    </row>
    <row r="461" spans="1:18">
      <c r="A461" s="14"/>
    </row>
    <row r="462" spans="1:18">
      <c r="A462" s="16" t="s">
        <v>99</v>
      </c>
    </row>
    <row r="463" spans="1:18" ht="17" thickBot="1">
      <c r="A463" s="24"/>
    </row>
    <row r="464" spans="1:18" ht="35" thickBot="1">
      <c r="A464" s="94" t="s">
        <v>44</v>
      </c>
      <c r="B464" s="94" t="s">
        <v>45</v>
      </c>
      <c r="C464" s="23" t="s">
        <v>46</v>
      </c>
      <c r="D464" s="23" t="s">
        <v>47</v>
      </c>
      <c r="E464" s="23" t="s">
        <v>48</v>
      </c>
      <c r="F464" s="23" t="s">
        <v>49</v>
      </c>
      <c r="G464" s="23" t="s">
        <v>50</v>
      </c>
      <c r="H464" s="23" t="s">
        <v>51</v>
      </c>
      <c r="I464" s="23" t="s">
        <v>52</v>
      </c>
      <c r="J464" s="23" t="s">
        <v>53</v>
      </c>
      <c r="K464" s="23" t="s">
        <v>88</v>
      </c>
      <c r="L464" s="23" t="s">
        <v>55</v>
      </c>
      <c r="M464" s="23" t="s">
        <v>56</v>
      </c>
      <c r="N464" s="23" t="s">
        <v>57</v>
      </c>
      <c r="O464" s="23" t="s">
        <v>58</v>
      </c>
      <c r="P464" s="25" t="s">
        <v>59</v>
      </c>
      <c r="Q464" s="26"/>
      <c r="R464" s="26"/>
    </row>
    <row r="465" spans="1:18" ht="17">
      <c r="A465" s="108"/>
      <c r="B465" s="108"/>
      <c r="C465" s="94" t="s">
        <v>60</v>
      </c>
      <c r="D465" s="94" t="s">
        <v>61</v>
      </c>
      <c r="E465" s="94" t="s">
        <v>62</v>
      </c>
      <c r="F465" s="94" t="s">
        <v>63</v>
      </c>
      <c r="G465" s="94" t="s">
        <v>64</v>
      </c>
      <c r="H465" s="94" t="s">
        <v>65</v>
      </c>
      <c r="I465" s="94" t="s">
        <v>66</v>
      </c>
      <c r="J465" s="27" t="s">
        <v>67</v>
      </c>
      <c r="K465" s="27" t="s">
        <v>89</v>
      </c>
      <c r="L465" s="94" t="s">
        <v>69</v>
      </c>
      <c r="M465" s="94" t="s">
        <v>70</v>
      </c>
      <c r="N465" s="94" t="s">
        <v>71</v>
      </c>
      <c r="O465" s="94" t="s">
        <v>72</v>
      </c>
      <c r="P465" s="94" t="s">
        <v>73</v>
      </c>
      <c r="Q465" s="105"/>
      <c r="R465" s="109"/>
    </row>
    <row r="466" spans="1:18" ht="18" thickBot="1">
      <c r="A466" s="95"/>
      <c r="B466" s="95"/>
      <c r="C466" s="95"/>
      <c r="D466" s="95"/>
      <c r="E466" s="95"/>
      <c r="F466" s="95"/>
      <c r="G466" s="95"/>
      <c r="H466" s="95"/>
      <c r="I466" s="95"/>
      <c r="J466" s="28" t="s">
        <v>74</v>
      </c>
      <c r="K466" s="28" t="s">
        <v>75</v>
      </c>
      <c r="L466" s="95"/>
      <c r="M466" s="95"/>
      <c r="N466" s="95"/>
      <c r="O466" s="95"/>
      <c r="P466" s="95"/>
      <c r="Q466" s="105"/>
      <c r="R466" s="109"/>
    </row>
    <row r="467" spans="1:18" ht="18" thickBot="1">
      <c r="A467" s="29" t="s">
        <v>31</v>
      </c>
      <c r="B467" s="28" t="s">
        <v>82</v>
      </c>
      <c r="C467" s="28">
        <v>1</v>
      </c>
      <c r="D467" s="30">
        <v>2182.59</v>
      </c>
      <c r="E467" s="30">
        <v>2604.88</v>
      </c>
      <c r="F467" s="30">
        <v>4787.47</v>
      </c>
      <c r="G467" s="30">
        <v>489.06</v>
      </c>
      <c r="H467" s="30">
        <v>1000</v>
      </c>
      <c r="I467" s="28" t="s">
        <v>77</v>
      </c>
      <c r="J467" s="30">
        <v>6276.53</v>
      </c>
      <c r="K467" s="30">
        <v>75318.36</v>
      </c>
      <c r="L467" s="30">
        <v>4787.47</v>
      </c>
      <c r="M467" s="30">
        <v>1595.82</v>
      </c>
      <c r="N467" s="30">
        <v>712.47</v>
      </c>
      <c r="O467" s="30">
        <v>82414.12</v>
      </c>
      <c r="P467" s="31">
        <v>82414.12</v>
      </c>
      <c r="Q467" s="26"/>
      <c r="R467" s="26"/>
    </row>
    <row r="468" spans="1:18" ht="18" thickBot="1">
      <c r="A468" s="106" t="s">
        <v>78</v>
      </c>
      <c r="B468" s="107"/>
      <c r="C468" s="28"/>
      <c r="D468" s="30">
        <v>2182.59</v>
      </c>
      <c r="E468" s="30">
        <v>2604.88</v>
      </c>
      <c r="F468" s="30">
        <v>4787.47</v>
      </c>
      <c r="G468" s="30">
        <v>489.06</v>
      </c>
      <c r="H468" s="30">
        <v>1000</v>
      </c>
      <c r="I468" s="28" t="s">
        <v>77</v>
      </c>
      <c r="J468" s="30">
        <v>6276.53</v>
      </c>
      <c r="K468" s="30">
        <v>75318.36</v>
      </c>
      <c r="L468" s="30">
        <v>4787.47</v>
      </c>
      <c r="M468" s="30">
        <v>1595.82</v>
      </c>
      <c r="N468" s="30">
        <v>712.47</v>
      </c>
      <c r="O468" s="30">
        <v>82414.12</v>
      </c>
      <c r="P468" s="31">
        <v>82414.12</v>
      </c>
      <c r="Q468" s="26"/>
      <c r="R468" s="26"/>
    </row>
    <row r="469" spans="1:18" ht="35" thickBot="1">
      <c r="A469" s="94" t="s">
        <v>44</v>
      </c>
      <c r="B469" s="94" t="s">
        <v>45</v>
      </c>
      <c r="C469" s="28" t="s">
        <v>46</v>
      </c>
      <c r="D469" s="28" t="s">
        <v>47</v>
      </c>
      <c r="E469" s="28" t="s">
        <v>48</v>
      </c>
      <c r="F469" s="28" t="s">
        <v>49</v>
      </c>
      <c r="G469" s="28" t="s">
        <v>50</v>
      </c>
      <c r="H469" s="28" t="s">
        <v>51</v>
      </c>
      <c r="I469" s="28" t="s">
        <v>52</v>
      </c>
      <c r="J469" s="28" t="s">
        <v>53</v>
      </c>
      <c r="K469" s="28" t="s">
        <v>88</v>
      </c>
      <c r="L469" s="28" t="s">
        <v>55</v>
      </c>
      <c r="M469" s="28" t="s">
        <v>56</v>
      </c>
      <c r="N469" s="28" t="s">
        <v>57</v>
      </c>
      <c r="O469" s="28" t="s">
        <v>58</v>
      </c>
      <c r="P469" s="99" t="s">
        <v>59</v>
      </c>
      <c r="Q469" s="101"/>
      <c r="R469" s="26"/>
    </row>
    <row r="470" spans="1:18" ht="17">
      <c r="A470" s="108"/>
      <c r="B470" s="108"/>
      <c r="C470" s="94" t="s">
        <v>60</v>
      </c>
      <c r="D470" s="94" t="s">
        <v>61</v>
      </c>
      <c r="E470" s="94" t="s">
        <v>62</v>
      </c>
      <c r="F470" s="94" t="s">
        <v>63</v>
      </c>
      <c r="G470" s="94" t="s">
        <v>64</v>
      </c>
      <c r="H470" s="94" t="s">
        <v>65</v>
      </c>
      <c r="I470" s="94" t="s">
        <v>66</v>
      </c>
      <c r="J470" s="27" t="s">
        <v>67</v>
      </c>
      <c r="K470" s="27" t="s">
        <v>89</v>
      </c>
      <c r="L470" s="94" t="s">
        <v>69</v>
      </c>
      <c r="M470" s="94" t="s">
        <v>70</v>
      </c>
      <c r="N470" s="94" t="s">
        <v>71</v>
      </c>
      <c r="O470" s="94" t="s">
        <v>72</v>
      </c>
      <c r="P470" s="96" t="s">
        <v>73</v>
      </c>
      <c r="Q470" s="98"/>
      <c r="R470" s="105"/>
    </row>
    <row r="471" spans="1:18" ht="18" thickBot="1">
      <c r="A471" s="95"/>
      <c r="B471" s="95"/>
      <c r="C471" s="95"/>
      <c r="D471" s="95"/>
      <c r="E471" s="95"/>
      <c r="F471" s="95"/>
      <c r="G471" s="95"/>
      <c r="H471" s="95"/>
      <c r="I471" s="95"/>
      <c r="J471" s="28" t="s">
        <v>74</v>
      </c>
      <c r="K471" s="28" t="s">
        <v>75</v>
      </c>
      <c r="L471" s="95"/>
      <c r="M471" s="95"/>
      <c r="N471" s="95"/>
      <c r="O471" s="95"/>
      <c r="P471" s="99"/>
      <c r="Q471" s="101"/>
      <c r="R471" s="105"/>
    </row>
    <row r="472" spans="1:18" ht="18" thickBot="1">
      <c r="A472" s="29" t="s">
        <v>32</v>
      </c>
      <c r="B472" s="28" t="s">
        <v>82</v>
      </c>
      <c r="C472" s="28">
        <v>1</v>
      </c>
      <c r="D472" s="30">
        <v>2182.59</v>
      </c>
      <c r="E472" s="30">
        <v>2604.88</v>
      </c>
      <c r="F472" s="30">
        <v>4787.47</v>
      </c>
      <c r="G472" s="30">
        <v>489.06</v>
      </c>
      <c r="H472" s="30">
        <v>1000</v>
      </c>
      <c r="I472" s="28" t="s">
        <v>77</v>
      </c>
      <c r="J472" s="30">
        <v>6276.53</v>
      </c>
      <c r="K472" s="30">
        <v>75318.36</v>
      </c>
      <c r="L472" s="30">
        <v>4787.47</v>
      </c>
      <c r="M472" s="30">
        <v>1595.82</v>
      </c>
      <c r="N472" s="30">
        <v>712.47</v>
      </c>
      <c r="O472" s="30">
        <v>82414.12</v>
      </c>
      <c r="P472" s="102">
        <v>82414.12</v>
      </c>
      <c r="Q472" s="104"/>
      <c r="R472" s="26"/>
    </row>
    <row r="473" spans="1:18" ht="18" thickBot="1">
      <c r="A473" s="106" t="s">
        <v>78</v>
      </c>
      <c r="B473" s="107"/>
      <c r="C473" s="28"/>
      <c r="D473" s="30">
        <v>2182.59</v>
      </c>
      <c r="E473" s="30">
        <v>2604.88</v>
      </c>
      <c r="F473" s="30">
        <v>4787.47</v>
      </c>
      <c r="G473" s="30">
        <v>489.06</v>
      </c>
      <c r="H473" s="30">
        <v>1000</v>
      </c>
      <c r="I473" s="28" t="s">
        <v>77</v>
      </c>
      <c r="J473" s="30">
        <v>6276.53</v>
      </c>
      <c r="K473" s="30">
        <v>75318.36</v>
      </c>
      <c r="L473" s="30">
        <v>4787.47</v>
      </c>
      <c r="M473" s="30">
        <v>1595.82</v>
      </c>
      <c r="N473" s="30">
        <v>712.47</v>
      </c>
      <c r="O473" s="30">
        <v>82414.12</v>
      </c>
      <c r="P473" s="102">
        <v>82414.12</v>
      </c>
      <c r="Q473" s="104"/>
      <c r="R473" s="26"/>
    </row>
    <row r="474" spans="1:18" ht="35" thickBot="1">
      <c r="A474" s="94" t="s">
        <v>44</v>
      </c>
      <c r="B474" s="94" t="s">
        <v>45</v>
      </c>
      <c r="C474" s="28" t="s">
        <v>46</v>
      </c>
      <c r="D474" s="28" t="s">
        <v>47</v>
      </c>
      <c r="E474" s="28" t="s">
        <v>48</v>
      </c>
      <c r="F474" s="28" t="s">
        <v>49</v>
      </c>
      <c r="G474" s="28" t="s">
        <v>50</v>
      </c>
      <c r="H474" s="28" t="s">
        <v>51</v>
      </c>
      <c r="I474" s="28" t="s">
        <v>52</v>
      </c>
      <c r="J474" s="28" t="s">
        <v>53</v>
      </c>
      <c r="K474" s="28" t="s">
        <v>88</v>
      </c>
      <c r="L474" s="28" t="s">
        <v>55</v>
      </c>
      <c r="M474" s="28" t="s">
        <v>56</v>
      </c>
      <c r="N474" s="28" t="s">
        <v>57</v>
      </c>
      <c r="O474" s="28" t="s">
        <v>58</v>
      </c>
      <c r="P474" s="99" t="s">
        <v>59</v>
      </c>
      <c r="Q474" s="100"/>
      <c r="R474" s="101"/>
    </row>
    <row r="475" spans="1:18" ht="17">
      <c r="A475" s="108"/>
      <c r="B475" s="108"/>
      <c r="C475" s="94" t="s">
        <v>60</v>
      </c>
      <c r="D475" s="94" t="s">
        <v>61</v>
      </c>
      <c r="E475" s="94" t="s">
        <v>62</v>
      </c>
      <c r="F475" s="94" t="s">
        <v>63</v>
      </c>
      <c r="G475" s="94" t="s">
        <v>64</v>
      </c>
      <c r="H475" s="94" t="s">
        <v>65</v>
      </c>
      <c r="I475" s="94" t="s">
        <v>66</v>
      </c>
      <c r="J475" s="27" t="s">
        <v>67</v>
      </c>
      <c r="K475" s="27" t="s">
        <v>89</v>
      </c>
      <c r="L475" s="94" t="s">
        <v>69</v>
      </c>
      <c r="M475" s="94" t="s">
        <v>70</v>
      </c>
      <c r="N475" s="94" t="s">
        <v>71</v>
      </c>
      <c r="O475" s="94" t="s">
        <v>72</v>
      </c>
      <c r="P475" s="96" t="s">
        <v>73</v>
      </c>
      <c r="Q475" s="97"/>
      <c r="R475" s="98"/>
    </row>
    <row r="476" spans="1:18" ht="18" thickBot="1">
      <c r="A476" s="95"/>
      <c r="B476" s="95"/>
      <c r="C476" s="95"/>
      <c r="D476" s="95"/>
      <c r="E476" s="95"/>
      <c r="F476" s="95"/>
      <c r="G476" s="95"/>
      <c r="H476" s="95"/>
      <c r="I476" s="95"/>
      <c r="J476" s="28" t="s">
        <v>74</v>
      </c>
      <c r="K476" s="28" t="s">
        <v>75</v>
      </c>
      <c r="L476" s="95"/>
      <c r="M476" s="95"/>
      <c r="N476" s="95"/>
      <c r="O476" s="95"/>
      <c r="P476" s="99"/>
      <c r="Q476" s="100"/>
      <c r="R476" s="101"/>
    </row>
    <row r="477" spans="1:18" ht="18" thickBot="1">
      <c r="A477" s="29" t="s">
        <v>92</v>
      </c>
      <c r="B477" s="28" t="s">
        <v>82</v>
      </c>
      <c r="C477" s="28">
        <v>1</v>
      </c>
      <c r="D477" s="30">
        <v>2182.59</v>
      </c>
      <c r="E477" s="30">
        <v>2604.88</v>
      </c>
      <c r="F477" s="30">
        <v>4787.47</v>
      </c>
      <c r="G477" s="30">
        <v>489.06</v>
      </c>
      <c r="H477" s="30">
        <v>1000</v>
      </c>
      <c r="I477" s="28" t="s">
        <v>77</v>
      </c>
      <c r="J477" s="30">
        <v>6276.53</v>
      </c>
      <c r="K477" s="30">
        <v>75318.36</v>
      </c>
      <c r="L477" s="30">
        <v>4787.47</v>
      </c>
      <c r="M477" s="30">
        <v>1595.82</v>
      </c>
      <c r="N477" s="30">
        <v>712.47</v>
      </c>
      <c r="O477" s="30">
        <v>82414.12</v>
      </c>
      <c r="P477" s="102">
        <v>82414.12</v>
      </c>
      <c r="Q477" s="103"/>
      <c r="R477" s="104"/>
    </row>
    <row r="478" spans="1:18" ht="18" thickBot="1">
      <c r="A478" s="92" t="s">
        <v>78</v>
      </c>
      <c r="B478" s="93"/>
      <c r="C478" s="28"/>
      <c r="D478" s="30">
        <v>2182.59</v>
      </c>
      <c r="E478" s="30">
        <v>2604.88</v>
      </c>
      <c r="F478" s="30">
        <v>4787.47</v>
      </c>
      <c r="G478" s="30">
        <v>489.06</v>
      </c>
      <c r="H478" s="30">
        <v>1000</v>
      </c>
      <c r="I478" s="28" t="s">
        <v>77</v>
      </c>
      <c r="J478" s="30">
        <v>6276.53</v>
      </c>
      <c r="K478" s="30">
        <v>75318.36</v>
      </c>
      <c r="L478" s="30">
        <v>4787.47</v>
      </c>
      <c r="M478" s="30">
        <v>1595.82</v>
      </c>
      <c r="N478" s="30">
        <v>712.47</v>
      </c>
      <c r="O478" s="30">
        <v>82414.12</v>
      </c>
      <c r="P478" s="102">
        <v>82414.12</v>
      </c>
      <c r="Q478" s="103"/>
      <c r="R478" s="104"/>
    </row>
    <row r="479" spans="1:18">
      <c r="A479" s="32"/>
    </row>
    <row r="480" spans="1:18">
      <c r="A480" s="16" t="s">
        <v>99</v>
      </c>
    </row>
    <row r="481" spans="1:18" ht="17" thickBot="1">
      <c r="A481" s="24"/>
    </row>
    <row r="482" spans="1:18" ht="35" thickBot="1">
      <c r="A482" s="94" t="s">
        <v>44</v>
      </c>
      <c r="B482" s="94" t="s">
        <v>45</v>
      </c>
      <c r="C482" s="23" t="s">
        <v>46</v>
      </c>
      <c r="D482" s="23" t="s">
        <v>47</v>
      </c>
      <c r="E482" s="23" t="s">
        <v>48</v>
      </c>
      <c r="F482" s="23" t="s">
        <v>49</v>
      </c>
      <c r="G482" s="23" t="s">
        <v>50</v>
      </c>
      <c r="H482" s="23" t="s">
        <v>51</v>
      </c>
      <c r="I482" s="23" t="s">
        <v>52</v>
      </c>
      <c r="J482" s="23" t="s">
        <v>53</v>
      </c>
      <c r="K482" s="23" t="s">
        <v>88</v>
      </c>
      <c r="L482" s="23" t="s">
        <v>55</v>
      </c>
      <c r="M482" s="23" t="s">
        <v>56</v>
      </c>
      <c r="N482" s="23" t="s">
        <v>57</v>
      </c>
      <c r="O482" s="23" t="s">
        <v>58</v>
      </c>
      <c r="P482" s="25" t="s">
        <v>59</v>
      </c>
      <c r="Q482" s="26"/>
      <c r="R482" s="26"/>
    </row>
    <row r="483" spans="1:18" ht="17">
      <c r="A483" s="108"/>
      <c r="B483" s="108"/>
      <c r="C483" s="94" t="s">
        <v>60</v>
      </c>
      <c r="D483" s="94" t="s">
        <v>61</v>
      </c>
      <c r="E483" s="94" t="s">
        <v>62</v>
      </c>
      <c r="F483" s="94" t="s">
        <v>63</v>
      </c>
      <c r="G483" s="94" t="s">
        <v>64</v>
      </c>
      <c r="H483" s="94" t="s">
        <v>65</v>
      </c>
      <c r="I483" s="94" t="s">
        <v>66</v>
      </c>
      <c r="J483" s="27" t="s">
        <v>67</v>
      </c>
      <c r="K483" s="27" t="s">
        <v>89</v>
      </c>
      <c r="L483" s="94" t="s">
        <v>69</v>
      </c>
      <c r="M483" s="94" t="s">
        <v>70</v>
      </c>
      <c r="N483" s="94" t="s">
        <v>71</v>
      </c>
      <c r="O483" s="94" t="s">
        <v>72</v>
      </c>
      <c r="P483" s="94" t="s">
        <v>73</v>
      </c>
      <c r="Q483" s="105"/>
      <c r="R483" s="109"/>
    </row>
    <row r="484" spans="1:18" ht="18" thickBot="1">
      <c r="A484" s="95"/>
      <c r="B484" s="95"/>
      <c r="C484" s="95"/>
      <c r="D484" s="95"/>
      <c r="E484" s="95"/>
      <c r="F484" s="95"/>
      <c r="G484" s="95"/>
      <c r="H484" s="95"/>
      <c r="I484" s="95"/>
      <c r="J484" s="28" t="s">
        <v>74</v>
      </c>
      <c r="K484" s="28" t="s">
        <v>75</v>
      </c>
      <c r="L484" s="95"/>
      <c r="M484" s="95"/>
      <c r="N484" s="95"/>
      <c r="O484" s="95"/>
      <c r="P484" s="95"/>
      <c r="Q484" s="105"/>
      <c r="R484" s="109"/>
    </row>
    <row r="485" spans="1:18" ht="18" thickBot="1">
      <c r="A485" s="29" t="s">
        <v>34</v>
      </c>
      <c r="B485" s="28" t="s">
        <v>82</v>
      </c>
      <c r="C485" s="28">
        <v>1</v>
      </c>
      <c r="D485" s="30">
        <v>2182.59</v>
      </c>
      <c r="E485" s="30">
        <v>2604.88</v>
      </c>
      <c r="F485" s="30">
        <v>4787.47</v>
      </c>
      <c r="G485" s="30">
        <v>489.06</v>
      </c>
      <c r="H485" s="30">
        <v>1000</v>
      </c>
      <c r="I485" s="28" t="s">
        <v>77</v>
      </c>
      <c r="J485" s="30">
        <v>6276.53</v>
      </c>
      <c r="K485" s="30">
        <v>75318.36</v>
      </c>
      <c r="L485" s="30">
        <v>4787.47</v>
      </c>
      <c r="M485" s="30">
        <v>1595.82</v>
      </c>
      <c r="N485" s="30">
        <v>712.47</v>
      </c>
      <c r="O485" s="30">
        <v>82414.12</v>
      </c>
      <c r="P485" s="31">
        <v>82414.12</v>
      </c>
      <c r="Q485" s="26"/>
      <c r="R485" s="26"/>
    </row>
    <row r="486" spans="1:18" ht="18" thickBot="1">
      <c r="A486" s="106" t="s">
        <v>78</v>
      </c>
      <c r="B486" s="107"/>
      <c r="C486" s="28"/>
      <c r="D486" s="30">
        <v>2182.59</v>
      </c>
      <c r="E486" s="30">
        <v>2604.88</v>
      </c>
      <c r="F486" s="30">
        <v>4787.47</v>
      </c>
      <c r="G486" s="30">
        <v>489.06</v>
      </c>
      <c r="H486" s="30">
        <v>1000</v>
      </c>
      <c r="I486" s="28" t="s">
        <v>77</v>
      </c>
      <c r="J486" s="30">
        <v>6276.53</v>
      </c>
      <c r="K486" s="30">
        <v>75318.36</v>
      </c>
      <c r="L486" s="30">
        <v>4787.47</v>
      </c>
      <c r="M486" s="30">
        <v>1595.82</v>
      </c>
      <c r="N486" s="30">
        <v>712.47</v>
      </c>
      <c r="O486" s="30">
        <v>82414.12</v>
      </c>
      <c r="P486" s="31">
        <v>82414.12</v>
      </c>
      <c r="Q486" s="26"/>
      <c r="R486" s="26"/>
    </row>
    <row r="487" spans="1:18" ht="35" thickBot="1">
      <c r="A487" s="94" t="s">
        <v>44</v>
      </c>
      <c r="B487" s="94" t="s">
        <v>45</v>
      </c>
      <c r="C487" s="28" t="s">
        <v>46</v>
      </c>
      <c r="D487" s="28" t="s">
        <v>47</v>
      </c>
      <c r="E487" s="28" t="s">
        <v>48</v>
      </c>
      <c r="F487" s="28" t="s">
        <v>49</v>
      </c>
      <c r="G487" s="28" t="s">
        <v>50</v>
      </c>
      <c r="H487" s="28" t="s">
        <v>51</v>
      </c>
      <c r="I487" s="28" t="s">
        <v>52</v>
      </c>
      <c r="J487" s="28" t="s">
        <v>53</v>
      </c>
      <c r="K487" s="28" t="s">
        <v>88</v>
      </c>
      <c r="L487" s="28" t="s">
        <v>55</v>
      </c>
      <c r="M487" s="28" t="s">
        <v>56</v>
      </c>
      <c r="N487" s="28" t="s">
        <v>57</v>
      </c>
      <c r="O487" s="28" t="s">
        <v>58</v>
      </c>
      <c r="P487" s="99" t="s">
        <v>59</v>
      </c>
      <c r="Q487" s="101"/>
      <c r="R487" s="26"/>
    </row>
    <row r="488" spans="1:18" ht="17">
      <c r="A488" s="108"/>
      <c r="B488" s="108"/>
      <c r="C488" s="94" t="s">
        <v>60</v>
      </c>
      <c r="D488" s="94" t="s">
        <v>61</v>
      </c>
      <c r="E488" s="94" t="s">
        <v>62</v>
      </c>
      <c r="F488" s="94" t="s">
        <v>63</v>
      </c>
      <c r="G488" s="94" t="s">
        <v>64</v>
      </c>
      <c r="H488" s="94" t="s">
        <v>65</v>
      </c>
      <c r="I488" s="94" t="s">
        <v>66</v>
      </c>
      <c r="J488" s="27" t="s">
        <v>67</v>
      </c>
      <c r="K488" s="27" t="s">
        <v>89</v>
      </c>
      <c r="L488" s="94" t="s">
        <v>69</v>
      </c>
      <c r="M488" s="94" t="s">
        <v>70</v>
      </c>
      <c r="N488" s="94" t="s">
        <v>71</v>
      </c>
      <c r="O488" s="94" t="s">
        <v>72</v>
      </c>
      <c r="P488" s="96" t="s">
        <v>73</v>
      </c>
      <c r="Q488" s="98"/>
      <c r="R488" s="105"/>
    </row>
    <row r="489" spans="1:18" ht="18" thickBot="1">
      <c r="A489" s="95"/>
      <c r="B489" s="95"/>
      <c r="C489" s="95"/>
      <c r="D489" s="95"/>
      <c r="E489" s="95"/>
      <c r="F489" s="95"/>
      <c r="G489" s="95"/>
      <c r="H489" s="95"/>
      <c r="I489" s="95"/>
      <c r="J489" s="28" t="s">
        <v>74</v>
      </c>
      <c r="K489" s="28" t="s">
        <v>75</v>
      </c>
      <c r="L489" s="95"/>
      <c r="M489" s="95"/>
      <c r="N489" s="95"/>
      <c r="O489" s="95"/>
      <c r="P489" s="99"/>
      <c r="Q489" s="101"/>
      <c r="R489" s="105"/>
    </row>
    <row r="490" spans="1:18" ht="18" thickBot="1">
      <c r="A490" s="29" t="s">
        <v>35</v>
      </c>
      <c r="B490" s="28" t="s">
        <v>82</v>
      </c>
      <c r="C490" s="28">
        <v>1</v>
      </c>
      <c r="D490" s="30">
        <v>2182.59</v>
      </c>
      <c r="E490" s="30">
        <v>2604.88</v>
      </c>
      <c r="F490" s="30">
        <v>4787.47</v>
      </c>
      <c r="G490" s="30">
        <v>489.06</v>
      </c>
      <c r="H490" s="30">
        <v>1000</v>
      </c>
      <c r="I490" s="28" t="s">
        <v>77</v>
      </c>
      <c r="J490" s="30">
        <v>6276.53</v>
      </c>
      <c r="K490" s="30">
        <v>75318.36</v>
      </c>
      <c r="L490" s="30">
        <v>4787.47</v>
      </c>
      <c r="M490" s="30">
        <v>1595.82</v>
      </c>
      <c r="N490" s="30">
        <v>712.47</v>
      </c>
      <c r="O490" s="30">
        <v>82414.12</v>
      </c>
      <c r="P490" s="102">
        <v>82414.12</v>
      </c>
      <c r="Q490" s="104"/>
      <c r="R490" s="26"/>
    </row>
    <row r="491" spans="1:18" ht="18" thickBot="1">
      <c r="A491" s="106" t="s">
        <v>78</v>
      </c>
      <c r="B491" s="107"/>
      <c r="C491" s="28"/>
      <c r="D491" s="30">
        <v>2182.59</v>
      </c>
      <c r="E491" s="30">
        <v>2604.88</v>
      </c>
      <c r="F491" s="30">
        <v>4787.47</v>
      </c>
      <c r="G491" s="30">
        <v>489.06</v>
      </c>
      <c r="H491" s="30">
        <v>1000</v>
      </c>
      <c r="I491" s="28" t="s">
        <v>77</v>
      </c>
      <c r="J491" s="30">
        <v>6276.53</v>
      </c>
      <c r="K491" s="30">
        <v>75318.36</v>
      </c>
      <c r="L491" s="30">
        <v>4787.47</v>
      </c>
      <c r="M491" s="30">
        <v>1595.82</v>
      </c>
      <c r="N491" s="30">
        <v>712.47</v>
      </c>
      <c r="O491" s="30">
        <v>82414.12</v>
      </c>
      <c r="P491" s="102">
        <v>82414.12</v>
      </c>
      <c r="Q491" s="104"/>
      <c r="R491" s="26"/>
    </row>
    <row r="492" spans="1:18" ht="35" thickBot="1">
      <c r="A492" s="94" t="s">
        <v>44</v>
      </c>
      <c r="B492" s="94" t="s">
        <v>45</v>
      </c>
      <c r="C492" s="28" t="s">
        <v>46</v>
      </c>
      <c r="D492" s="28" t="s">
        <v>47</v>
      </c>
      <c r="E492" s="28" t="s">
        <v>48</v>
      </c>
      <c r="F492" s="28" t="s">
        <v>49</v>
      </c>
      <c r="G492" s="28" t="s">
        <v>50</v>
      </c>
      <c r="H492" s="28" t="s">
        <v>51</v>
      </c>
      <c r="I492" s="28" t="s">
        <v>52</v>
      </c>
      <c r="J492" s="28" t="s">
        <v>53</v>
      </c>
      <c r="K492" s="28" t="s">
        <v>88</v>
      </c>
      <c r="L492" s="28" t="s">
        <v>55</v>
      </c>
      <c r="M492" s="28" t="s">
        <v>56</v>
      </c>
      <c r="N492" s="28" t="s">
        <v>57</v>
      </c>
      <c r="O492" s="28" t="s">
        <v>58</v>
      </c>
      <c r="P492" s="99" t="s">
        <v>59</v>
      </c>
      <c r="Q492" s="100"/>
      <c r="R492" s="101"/>
    </row>
    <row r="493" spans="1:18" ht="17">
      <c r="A493" s="108"/>
      <c r="B493" s="108"/>
      <c r="C493" s="94" t="s">
        <v>60</v>
      </c>
      <c r="D493" s="94" t="s">
        <v>61</v>
      </c>
      <c r="E493" s="94" t="s">
        <v>62</v>
      </c>
      <c r="F493" s="94" t="s">
        <v>63</v>
      </c>
      <c r="G493" s="94" t="s">
        <v>64</v>
      </c>
      <c r="H493" s="94" t="s">
        <v>65</v>
      </c>
      <c r="I493" s="94" t="s">
        <v>66</v>
      </c>
      <c r="J493" s="27" t="s">
        <v>67</v>
      </c>
      <c r="K493" s="27" t="s">
        <v>89</v>
      </c>
      <c r="L493" s="94" t="s">
        <v>69</v>
      </c>
      <c r="M493" s="94" t="s">
        <v>70</v>
      </c>
      <c r="N493" s="94" t="s">
        <v>71</v>
      </c>
      <c r="O493" s="94" t="s">
        <v>72</v>
      </c>
      <c r="P493" s="96" t="s">
        <v>73</v>
      </c>
      <c r="Q493" s="97"/>
      <c r="R493" s="98"/>
    </row>
    <row r="494" spans="1:18" ht="18" thickBot="1">
      <c r="A494" s="95"/>
      <c r="B494" s="95"/>
      <c r="C494" s="95"/>
      <c r="D494" s="95"/>
      <c r="E494" s="95"/>
      <c r="F494" s="95"/>
      <c r="G494" s="95"/>
      <c r="H494" s="95"/>
      <c r="I494" s="95"/>
      <c r="J494" s="28" t="s">
        <v>74</v>
      </c>
      <c r="K494" s="28" t="s">
        <v>75</v>
      </c>
      <c r="L494" s="95"/>
      <c r="M494" s="95"/>
      <c r="N494" s="95"/>
      <c r="O494" s="95"/>
      <c r="P494" s="99"/>
      <c r="Q494" s="100"/>
      <c r="R494" s="101"/>
    </row>
    <row r="495" spans="1:18" ht="18" thickBot="1">
      <c r="A495" s="29" t="s">
        <v>36</v>
      </c>
      <c r="B495" s="28" t="s">
        <v>82</v>
      </c>
      <c r="C495" s="28">
        <v>2</v>
      </c>
      <c r="D495" s="30">
        <v>2182.59</v>
      </c>
      <c r="E495" s="30">
        <v>2604.88</v>
      </c>
      <c r="F495" s="30">
        <v>4787.47</v>
      </c>
      <c r="G495" s="30">
        <v>489.06</v>
      </c>
      <c r="H495" s="30">
        <v>1000</v>
      </c>
      <c r="I495" s="28" t="s">
        <v>77</v>
      </c>
      <c r="J495" s="30">
        <v>6276.53</v>
      </c>
      <c r="K495" s="30">
        <v>75318.36</v>
      </c>
      <c r="L495" s="30">
        <v>4787.47</v>
      </c>
      <c r="M495" s="30">
        <v>1595.82</v>
      </c>
      <c r="N495" s="30">
        <v>712.47</v>
      </c>
      <c r="O495" s="30">
        <v>82414.12</v>
      </c>
      <c r="P495" s="102">
        <v>164828.24</v>
      </c>
      <c r="Q495" s="103"/>
      <c r="R495" s="104"/>
    </row>
    <row r="496" spans="1:18" ht="18" thickBot="1">
      <c r="A496" s="92" t="s">
        <v>78</v>
      </c>
      <c r="B496" s="93"/>
      <c r="C496" s="28"/>
      <c r="D496" s="30">
        <v>2182.59</v>
      </c>
      <c r="E496" s="30">
        <v>2604.88</v>
      </c>
      <c r="F496" s="30">
        <v>4787.47</v>
      </c>
      <c r="G496" s="30">
        <v>489.06</v>
      </c>
      <c r="H496" s="30">
        <v>1000</v>
      </c>
      <c r="I496" s="28" t="s">
        <v>77</v>
      </c>
      <c r="J496" s="30">
        <v>6276.53</v>
      </c>
      <c r="K496" s="30">
        <v>75318.36</v>
      </c>
      <c r="L496" s="30">
        <v>4787.47</v>
      </c>
      <c r="M496" s="30">
        <v>1595.82</v>
      </c>
      <c r="N496" s="30">
        <v>712.47</v>
      </c>
      <c r="O496" s="30">
        <v>82414.12</v>
      </c>
      <c r="P496" s="102">
        <v>164828.24</v>
      </c>
      <c r="Q496" s="103"/>
      <c r="R496" s="104"/>
    </row>
    <row r="497" spans="1:18">
      <c r="A497" s="32"/>
    </row>
    <row r="498" spans="1:18">
      <c r="A498" s="16" t="s">
        <v>99</v>
      </c>
    </row>
    <row r="499" spans="1:18" ht="17" thickBot="1">
      <c r="A499" s="24"/>
    </row>
    <row r="500" spans="1:18" ht="35" thickBot="1">
      <c r="A500" s="94" t="s">
        <v>44</v>
      </c>
      <c r="B500" s="94" t="s">
        <v>45</v>
      </c>
      <c r="C500" s="23" t="s">
        <v>46</v>
      </c>
      <c r="D500" s="23" t="s">
        <v>47</v>
      </c>
      <c r="E500" s="23" t="s">
        <v>48</v>
      </c>
      <c r="F500" s="23" t="s">
        <v>49</v>
      </c>
      <c r="G500" s="23" t="s">
        <v>50</v>
      </c>
      <c r="H500" s="23" t="s">
        <v>51</v>
      </c>
      <c r="I500" s="23" t="s">
        <v>52</v>
      </c>
      <c r="J500" s="23" t="s">
        <v>53</v>
      </c>
      <c r="K500" s="23" t="s">
        <v>88</v>
      </c>
      <c r="L500" s="23" t="s">
        <v>55</v>
      </c>
      <c r="M500" s="23" t="s">
        <v>56</v>
      </c>
      <c r="N500" s="23" t="s">
        <v>57</v>
      </c>
      <c r="O500" s="23" t="s">
        <v>58</v>
      </c>
      <c r="P500" s="25" t="s">
        <v>59</v>
      </c>
      <c r="Q500" s="26"/>
      <c r="R500" s="26"/>
    </row>
    <row r="501" spans="1:18" ht="17">
      <c r="A501" s="108"/>
      <c r="B501" s="108"/>
      <c r="C501" s="94" t="s">
        <v>60</v>
      </c>
      <c r="D501" s="94" t="s">
        <v>61</v>
      </c>
      <c r="E501" s="94" t="s">
        <v>62</v>
      </c>
      <c r="F501" s="94" t="s">
        <v>63</v>
      </c>
      <c r="G501" s="94" t="s">
        <v>64</v>
      </c>
      <c r="H501" s="94" t="s">
        <v>65</v>
      </c>
      <c r="I501" s="94" t="s">
        <v>66</v>
      </c>
      <c r="J501" s="27" t="s">
        <v>67</v>
      </c>
      <c r="K501" s="27" t="s">
        <v>89</v>
      </c>
      <c r="L501" s="94" t="s">
        <v>69</v>
      </c>
      <c r="M501" s="94" t="s">
        <v>70</v>
      </c>
      <c r="N501" s="94" t="s">
        <v>71</v>
      </c>
      <c r="O501" s="94" t="s">
        <v>72</v>
      </c>
      <c r="P501" s="94" t="s">
        <v>73</v>
      </c>
      <c r="Q501" s="105"/>
      <c r="R501" s="109"/>
    </row>
    <row r="502" spans="1:18" ht="18" thickBot="1">
      <c r="A502" s="95"/>
      <c r="B502" s="95"/>
      <c r="C502" s="95"/>
      <c r="D502" s="95"/>
      <c r="E502" s="95"/>
      <c r="F502" s="95"/>
      <c r="G502" s="95"/>
      <c r="H502" s="95"/>
      <c r="I502" s="95"/>
      <c r="J502" s="28" t="s">
        <v>74</v>
      </c>
      <c r="K502" s="28" t="s">
        <v>75</v>
      </c>
      <c r="L502" s="95"/>
      <c r="M502" s="95"/>
      <c r="N502" s="95"/>
      <c r="O502" s="95"/>
      <c r="P502" s="95"/>
      <c r="Q502" s="105"/>
      <c r="R502" s="109"/>
    </row>
    <row r="503" spans="1:18" ht="18" thickBot="1">
      <c r="A503" s="29" t="s">
        <v>37</v>
      </c>
      <c r="B503" s="28" t="s">
        <v>82</v>
      </c>
      <c r="C503" s="28">
        <v>1</v>
      </c>
      <c r="D503" s="30">
        <v>2182.59</v>
      </c>
      <c r="E503" s="30">
        <v>2604.88</v>
      </c>
      <c r="F503" s="30">
        <v>4787.47</v>
      </c>
      <c r="G503" s="30">
        <v>489.06</v>
      </c>
      <c r="H503" s="30">
        <v>1000</v>
      </c>
      <c r="I503" s="28" t="s">
        <v>77</v>
      </c>
      <c r="J503" s="30">
        <v>6276.53</v>
      </c>
      <c r="K503" s="30">
        <v>75318.36</v>
      </c>
      <c r="L503" s="30">
        <v>4787.47</v>
      </c>
      <c r="M503" s="30">
        <v>1595.82</v>
      </c>
      <c r="N503" s="30">
        <v>712.47</v>
      </c>
      <c r="O503" s="30">
        <v>82414.12</v>
      </c>
      <c r="P503" s="31">
        <v>82414.12</v>
      </c>
      <c r="Q503" s="26"/>
      <c r="R503" s="26"/>
    </row>
    <row r="504" spans="1:18" ht="18" thickBot="1">
      <c r="A504" s="106" t="s">
        <v>78</v>
      </c>
      <c r="B504" s="107"/>
      <c r="C504" s="28"/>
      <c r="D504" s="30">
        <v>2182.59</v>
      </c>
      <c r="E504" s="30">
        <v>2604.88</v>
      </c>
      <c r="F504" s="30">
        <v>4787.47</v>
      </c>
      <c r="G504" s="30">
        <v>489.06</v>
      </c>
      <c r="H504" s="30">
        <v>1000</v>
      </c>
      <c r="I504" s="28" t="s">
        <v>77</v>
      </c>
      <c r="J504" s="30">
        <v>6276.53</v>
      </c>
      <c r="K504" s="30">
        <v>75318.36</v>
      </c>
      <c r="L504" s="30">
        <v>4787.47</v>
      </c>
      <c r="M504" s="30">
        <v>1595.82</v>
      </c>
      <c r="N504" s="30">
        <v>712.47</v>
      </c>
      <c r="O504" s="30">
        <v>82414.12</v>
      </c>
      <c r="P504" s="31">
        <v>82414.12</v>
      </c>
      <c r="Q504" s="26"/>
      <c r="R504" s="26"/>
    </row>
    <row r="505" spans="1:18" ht="35" thickBot="1">
      <c r="A505" s="94" t="s">
        <v>44</v>
      </c>
      <c r="B505" s="94" t="s">
        <v>45</v>
      </c>
      <c r="C505" s="28" t="s">
        <v>46</v>
      </c>
      <c r="D505" s="28" t="s">
        <v>47</v>
      </c>
      <c r="E505" s="28" t="s">
        <v>48</v>
      </c>
      <c r="F505" s="28" t="s">
        <v>49</v>
      </c>
      <c r="G505" s="28" t="s">
        <v>50</v>
      </c>
      <c r="H505" s="28" t="s">
        <v>51</v>
      </c>
      <c r="I505" s="28" t="s">
        <v>52</v>
      </c>
      <c r="J505" s="28" t="s">
        <v>53</v>
      </c>
      <c r="K505" s="28" t="s">
        <v>88</v>
      </c>
      <c r="L505" s="28" t="s">
        <v>55</v>
      </c>
      <c r="M505" s="28" t="s">
        <v>56</v>
      </c>
      <c r="N505" s="28" t="s">
        <v>57</v>
      </c>
      <c r="O505" s="28" t="s">
        <v>58</v>
      </c>
      <c r="P505" s="99" t="s">
        <v>59</v>
      </c>
      <c r="Q505" s="101"/>
      <c r="R505" s="26"/>
    </row>
    <row r="506" spans="1:18" ht="17">
      <c r="A506" s="108"/>
      <c r="B506" s="108"/>
      <c r="C506" s="94" t="s">
        <v>60</v>
      </c>
      <c r="D506" s="94" t="s">
        <v>61</v>
      </c>
      <c r="E506" s="94" t="s">
        <v>62</v>
      </c>
      <c r="F506" s="94" t="s">
        <v>63</v>
      </c>
      <c r="G506" s="94" t="s">
        <v>64</v>
      </c>
      <c r="H506" s="94" t="s">
        <v>65</v>
      </c>
      <c r="I506" s="94" t="s">
        <v>66</v>
      </c>
      <c r="J506" s="27" t="s">
        <v>67</v>
      </c>
      <c r="K506" s="27" t="s">
        <v>89</v>
      </c>
      <c r="L506" s="94" t="s">
        <v>69</v>
      </c>
      <c r="M506" s="94" t="s">
        <v>70</v>
      </c>
      <c r="N506" s="94" t="s">
        <v>71</v>
      </c>
      <c r="O506" s="94" t="s">
        <v>72</v>
      </c>
      <c r="P506" s="96" t="s">
        <v>73</v>
      </c>
      <c r="Q506" s="98"/>
      <c r="R506" s="105"/>
    </row>
    <row r="507" spans="1:18" ht="18" thickBot="1">
      <c r="A507" s="95"/>
      <c r="B507" s="95"/>
      <c r="C507" s="95"/>
      <c r="D507" s="95"/>
      <c r="E507" s="95"/>
      <c r="F507" s="95"/>
      <c r="G507" s="95"/>
      <c r="H507" s="95"/>
      <c r="I507" s="95"/>
      <c r="J507" s="28" t="s">
        <v>74</v>
      </c>
      <c r="K507" s="28" t="s">
        <v>75</v>
      </c>
      <c r="L507" s="95"/>
      <c r="M507" s="95"/>
      <c r="N507" s="95"/>
      <c r="O507" s="95"/>
      <c r="P507" s="99"/>
      <c r="Q507" s="101"/>
      <c r="R507" s="105"/>
    </row>
    <row r="508" spans="1:18" ht="18" thickBot="1">
      <c r="A508" s="29" t="s">
        <v>38</v>
      </c>
      <c r="B508" s="28" t="s">
        <v>82</v>
      </c>
      <c r="C508" s="28">
        <v>1</v>
      </c>
      <c r="D508" s="30">
        <v>2182.59</v>
      </c>
      <c r="E508" s="30">
        <v>2604.88</v>
      </c>
      <c r="F508" s="30">
        <v>4787.47</v>
      </c>
      <c r="G508" s="30">
        <v>489.06</v>
      </c>
      <c r="H508" s="30">
        <v>1000</v>
      </c>
      <c r="I508" s="28" t="s">
        <v>77</v>
      </c>
      <c r="J508" s="30">
        <v>6276.53</v>
      </c>
      <c r="K508" s="30">
        <v>75318.36</v>
      </c>
      <c r="L508" s="30">
        <v>4787.47</v>
      </c>
      <c r="M508" s="30">
        <v>1595.82</v>
      </c>
      <c r="N508" s="30">
        <v>712.47</v>
      </c>
      <c r="O508" s="30">
        <v>82414.12</v>
      </c>
      <c r="P508" s="102">
        <v>82414.12</v>
      </c>
      <c r="Q508" s="104"/>
      <c r="R508" s="26"/>
    </row>
    <row r="509" spans="1:18" ht="18" thickBot="1">
      <c r="A509" s="106" t="s">
        <v>78</v>
      </c>
      <c r="B509" s="107"/>
      <c r="C509" s="28"/>
      <c r="D509" s="30">
        <v>2182.59</v>
      </c>
      <c r="E509" s="30">
        <v>2604.88</v>
      </c>
      <c r="F509" s="30">
        <v>4787.47</v>
      </c>
      <c r="G509" s="30">
        <v>489.06</v>
      </c>
      <c r="H509" s="30">
        <v>1000</v>
      </c>
      <c r="I509" s="28" t="s">
        <v>77</v>
      </c>
      <c r="J509" s="30">
        <v>6276.53</v>
      </c>
      <c r="K509" s="30">
        <v>75318.36</v>
      </c>
      <c r="L509" s="30">
        <v>4787.47</v>
      </c>
      <c r="M509" s="30">
        <v>1595.82</v>
      </c>
      <c r="N509" s="30">
        <v>712.47</v>
      </c>
      <c r="O509" s="30">
        <v>82414.12</v>
      </c>
      <c r="P509" s="102">
        <v>82414.12</v>
      </c>
      <c r="Q509" s="104"/>
      <c r="R509" s="26"/>
    </row>
    <row r="510" spans="1:18" ht="35" thickBot="1">
      <c r="A510" s="94" t="s">
        <v>44</v>
      </c>
      <c r="B510" s="94" t="s">
        <v>45</v>
      </c>
      <c r="C510" s="28" t="s">
        <v>46</v>
      </c>
      <c r="D510" s="28" t="s">
        <v>47</v>
      </c>
      <c r="E510" s="28" t="s">
        <v>48</v>
      </c>
      <c r="F510" s="28" t="s">
        <v>49</v>
      </c>
      <c r="G510" s="28" t="s">
        <v>50</v>
      </c>
      <c r="H510" s="28" t="s">
        <v>51</v>
      </c>
      <c r="I510" s="28" t="s">
        <v>52</v>
      </c>
      <c r="J510" s="28" t="s">
        <v>53</v>
      </c>
      <c r="K510" s="28" t="s">
        <v>88</v>
      </c>
      <c r="L510" s="28" t="s">
        <v>55</v>
      </c>
      <c r="M510" s="28" t="s">
        <v>56</v>
      </c>
      <c r="N510" s="28" t="s">
        <v>57</v>
      </c>
      <c r="O510" s="28" t="s">
        <v>58</v>
      </c>
      <c r="P510" s="99" t="s">
        <v>59</v>
      </c>
      <c r="Q510" s="100"/>
      <c r="R510" s="101"/>
    </row>
    <row r="511" spans="1:18" ht="17">
      <c r="A511" s="108"/>
      <c r="B511" s="108"/>
      <c r="C511" s="94" t="s">
        <v>60</v>
      </c>
      <c r="D511" s="94" t="s">
        <v>61</v>
      </c>
      <c r="E511" s="94" t="s">
        <v>62</v>
      </c>
      <c r="F511" s="94" t="s">
        <v>63</v>
      </c>
      <c r="G511" s="94" t="s">
        <v>64</v>
      </c>
      <c r="H511" s="94" t="s">
        <v>65</v>
      </c>
      <c r="I511" s="94" t="s">
        <v>66</v>
      </c>
      <c r="J511" s="27" t="s">
        <v>67</v>
      </c>
      <c r="K511" s="27" t="s">
        <v>89</v>
      </c>
      <c r="L511" s="94" t="s">
        <v>69</v>
      </c>
      <c r="M511" s="94" t="s">
        <v>70</v>
      </c>
      <c r="N511" s="94" t="s">
        <v>71</v>
      </c>
      <c r="O511" s="94" t="s">
        <v>72</v>
      </c>
      <c r="P511" s="96" t="s">
        <v>73</v>
      </c>
      <c r="Q511" s="97"/>
      <c r="R511" s="98"/>
    </row>
    <row r="512" spans="1:18" ht="18" thickBot="1">
      <c r="A512" s="95"/>
      <c r="B512" s="95"/>
      <c r="C512" s="95"/>
      <c r="D512" s="95"/>
      <c r="E512" s="95"/>
      <c r="F512" s="95"/>
      <c r="G512" s="95"/>
      <c r="H512" s="95"/>
      <c r="I512" s="95"/>
      <c r="J512" s="28" t="s">
        <v>74</v>
      </c>
      <c r="K512" s="28" t="s">
        <v>75</v>
      </c>
      <c r="L512" s="95"/>
      <c r="M512" s="95"/>
      <c r="N512" s="95"/>
      <c r="O512" s="95"/>
      <c r="P512" s="99"/>
      <c r="Q512" s="100"/>
      <c r="R512" s="101"/>
    </row>
    <row r="513" spans="1:18" ht="18" thickBot="1">
      <c r="A513" s="29" t="s">
        <v>39</v>
      </c>
      <c r="B513" s="28" t="s">
        <v>82</v>
      </c>
      <c r="C513" s="28">
        <v>1</v>
      </c>
      <c r="D513" s="30">
        <v>2182.59</v>
      </c>
      <c r="E513" s="30">
        <v>2604.88</v>
      </c>
      <c r="F513" s="30">
        <v>4787.47</v>
      </c>
      <c r="G513" s="30">
        <v>489.06</v>
      </c>
      <c r="H513" s="30">
        <v>1000</v>
      </c>
      <c r="I513" s="28" t="s">
        <v>77</v>
      </c>
      <c r="J513" s="30">
        <v>6276.53</v>
      </c>
      <c r="K513" s="30">
        <v>75318.36</v>
      </c>
      <c r="L513" s="30">
        <v>4787.47</v>
      </c>
      <c r="M513" s="30">
        <v>1595.82</v>
      </c>
      <c r="N513" s="30">
        <v>712.47</v>
      </c>
      <c r="O513" s="30">
        <v>82414.12</v>
      </c>
      <c r="P513" s="102">
        <v>82414.12</v>
      </c>
      <c r="Q513" s="103"/>
      <c r="R513" s="104"/>
    </row>
    <row r="514" spans="1:18" ht="18" thickBot="1">
      <c r="A514" s="92" t="s">
        <v>78</v>
      </c>
      <c r="B514" s="93"/>
      <c r="C514" s="28"/>
      <c r="D514" s="30">
        <v>2182.59</v>
      </c>
      <c r="E514" s="30">
        <v>2604.88</v>
      </c>
      <c r="F514" s="30">
        <v>4787.47</v>
      </c>
      <c r="G514" s="30">
        <v>489.06</v>
      </c>
      <c r="H514" s="30">
        <v>1000</v>
      </c>
      <c r="I514" s="28" t="s">
        <v>77</v>
      </c>
      <c r="J514" s="30">
        <v>6276.53</v>
      </c>
      <c r="K514" s="30">
        <v>75318.36</v>
      </c>
      <c r="L514" s="30">
        <v>4787.47</v>
      </c>
      <c r="M514" s="30">
        <v>1595.82</v>
      </c>
      <c r="N514" s="30">
        <v>712.47</v>
      </c>
      <c r="O514" s="30">
        <v>82414.12</v>
      </c>
      <c r="P514" s="102">
        <v>82414.12</v>
      </c>
      <c r="Q514" s="103"/>
      <c r="R514" s="104"/>
    </row>
    <row r="515" spans="1:18">
      <c r="A515" s="32"/>
    </row>
    <row r="516" spans="1:18">
      <c r="A516" s="32"/>
    </row>
    <row r="517" spans="1:18">
      <c r="A517" s="38" t="s">
        <v>99</v>
      </c>
    </row>
    <row r="518" spans="1:18" ht="17" thickBot="1">
      <c r="A518" s="16"/>
    </row>
    <row r="519" spans="1:18" ht="35" thickBot="1">
      <c r="A519" s="94" t="s">
        <v>44</v>
      </c>
      <c r="B519" s="94" t="s">
        <v>45</v>
      </c>
      <c r="C519" s="23" t="s">
        <v>46</v>
      </c>
      <c r="D519" s="23" t="s">
        <v>47</v>
      </c>
      <c r="E519" s="23" t="s">
        <v>48</v>
      </c>
      <c r="F519" s="23" t="s">
        <v>49</v>
      </c>
      <c r="G519" s="23" t="s">
        <v>50</v>
      </c>
      <c r="H519" s="23" t="s">
        <v>51</v>
      </c>
      <c r="I519" s="23" t="s">
        <v>52</v>
      </c>
      <c r="J519" s="23" t="s">
        <v>53</v>
      </c>
      <c r="K519" s="23" t="s">
        <v>88</v>
      </c>
      <c r="L519" s="23" t="s">
        <v>55</v>
      </c>
      <c r="M519" s="23" t="s">
        <v>56</v>
      </c>
      <c r="N519" s="23" t="s">
        <v>57</v>
      </c>
      <c r="O519" s="23" t="s">
        <v>58</v>
      </c>
      <c r="P519" s="25" t="s">
        <v>59</v>
      </c>
      <c r="Q519" s="26"/>
      <c r="R519" s="26"/>
    </row>
    <row r="520" spans="1:18" ht="17">
      <c r="A520" s="108"/>
      <c r="B520" s="108"/>
      <c r="C520" s="94" t="s">
        <v>60</v>
      </c>
      <c r="D520" s="94" t="s">
        <v>61</v>
      </c>
      <c r="E520" s="94" t="s">
        <v>62</v>
      </c>
      <c r="F520" s="94" t="s">
        <v>63</v>
      </c>
      <c r="G520" s="94" t="s">
        <v>64</v>
      </c>
      <c r="H520" s="94" t="s">
        <v>65</v>
      </c>
      <c r="I520" s="94" t="s">
        <v>66</v>
      </c>
      <c r="J520" s="27" t="s">
        <v>67</v>
      </c>
      <c r="K520" s="94" t="s">
        <v>89</v>
      </c>
      <c r="L520" s="94" t="s">
        <v>69</v>
      </c>
      <c r="M520" s="94" t="s">
        <v>70</v>
      </c>
      <c r="N520" s="94" t="s">
        <v>71</v>
      </c>
      <c r="O520" s="94" t="s">
        <v>72</v>
      </c>
      <c r="P520" s="94" t="s">
        <v>73</v>
      </c>
      <c r="Q520" s="105"/>
      <c r="R520" s="109"/>
    </row>
    <row r="521" spans="1:18" ht="18" thickBot="1">
      <c r="A521" s="95"/>
      <c r="B521" s="95"/>
      <c r="C521" s="95"/>
      <c r="D521" s="95"/>
      <c r="E521" s="95"/>
      <c r="F521" s="95"/>
      <c r="G521" s="95"/>
      <c r="H521" s="95"/>
      <c r="I521" s="95"/>
      <c r="J521" s="28" t="s">
        <v>74</v>
      </c>
      <c r="K521" s="95"/>
      <c r="L521" s="95"/>
      <c r="M521" s="95"/>
      <c r="N521" s="95"/>
      <c r="O521" s="95"/>
      <c r="P521" s="95"/>
      <c r="Q521" s="105"/>
      <c r="R521" s="109"/>
    </row>
    <row r="522" spans="1:18" ht="18" thickBot="1">
      <c r="A522" s="3" t="s">
        <v>15</v>
      </c>
      <c r="B522" s="28" t="s">
        <v>76</v>
      </c>
      <c r="C522" s="28">
        <v>1</v>
      </c>
      <c r="D522" s="30">
        <v>2769.57</v>
      </c>
      <c r="E522" s="30">
        <v>2844</v>
      </c>
      <c r="F522" s="30">
        <v>5613.57</v>
      </c>
      <c r="G522" s="30">
        <v>604.71</v>
      </c>
      <c r="H522" s="30">
        <v>1000</v>
      </c>
      <c r="I522" s="28" t="s">
        <v>77</v>
      </c>
      <c r="J522" s="30">
        <v>7218.28</v>
      </c>
      <c r="K522" s="30">
        <v>86619.36</v>
      </c>
      <c r="L522" s="30">
        <v>5613.37</v>
      </c>
      <c r="M522" s="30">
        <v>1871.19</v>
      </c>
      <c r="N522" s="30">
        <v>751.94</v>
      </c>
      <c r="O522" s="30">
        <v>94856.06</v>
      </c>
      <c r="P522" s="31">
        <v>94856.06</v>
      </c>
      <c r="Q522" s="26"/>
      <c r="R522" s="26"/>
    </row>
    <row r="523" spans="1:18" ht="18" thickBot="1">
      <c r="A523" s="106" t="s">
        <v>78</v>
      </c>
      <c r="B523" s="107"/>
      <c r="C523" s="28"/>
      <c r="D523" s="30">
        <v>2769.57</v>
      </c>
      <c r="E523" s="30">
        <v>2844</v>
      </c>
      <c r="F523" s="30">
        <v>5613.57</v>
      </c>
      <c r="G523" s="30">
        <v>604.71</v>
      </c>
      <c r="H523" s="30">
        <v>1000</v>
      </c>
      <c r="I523" s="28" t="s">
        <v>77</v>
      </c>
      <c r="J523" s="30">
        <v>7218.28</v>
      </c>
      <c r="K523" s="30">
        <v>86619.36</v>
      </c>
      <c r="L523" s="36">
        <v>5613.37</v>
      </c>
      <c r="M523" s="30">
        <v>1871.19</v>
      </c>
      <c r="N523" s="30">
        <v>751.94</v>
      </c>
      <c r="O523" s="30">
        <v>94856.06</v>
      </c>
      <c r="P523" s="31">
        <v>94856.06</v>
      </c>
      <c r="Q523" s="26"/>
      <c r="R523" s="26"/>
    </row>
    <row r="524" spans="1:18" ht="35" thickBot="1">
      <c r="A524" s="94" t="s">
        <v>44</v>
      </c>
      <c r="B524" s="94" t="s">
        <v>45</v>
      </c>
      <c r="C524" s="28" t="s">
        <v>46</v>
      </c>
      <c r="D524" s="28" t="s">
        <v>47</v>
      </c>
      <c r="E524" s="28" t="s">
        <v>48</v>
      </c>
      <c r="F524" s="28" t="s">
        <v>49</v>
      </c>
      <c r="G524" s="28" t="s">
        <v>50</v>
      </c>
      <c r="H524" s="28" t="s">
        <v>51</v>
      </c>
      <c r="I524" s="28" t="s">
        <v>52</v>
      </c>
      <c r="J524" s="28" t="s">
        <v>53</v>
      </c>
      <c r="K524" s="28" t="s">
        <v>88</v>
      </c>
      <c r="L524" s="28" t="s">
        <v>55</v>
      </c>
      <c r="M524" s="28" t="s">
        <v>56</v>
      </c>
      <c r="N524" s="28" t="s">
        <v>57</v>
      </c>
      <c r="O524" s="28" t="s">
        <v>58</v>
      </c>
      <c r="P524" s="99" t="s">
        <v>59</v>
      </c>
      <c r="Q524" s="101"/>
      <c r="R524" s="26"/>
    </row>
    <row r="525" spans="1:18" ht="17">
      <c r="A525" s="108"/>
      <c r="B525" s="108"/>
      <c r="C525" s="94" t="s">
        <v>60</v>
      </c>
      <c r="D525" s="94" t="s">
        <v>61</v>
      </c>
      <c r="E525" s="94" t="s">
        <v>62</v>
      </c>
      <c r="F525" s="94" t="s">
        <v>63</v>
      </c>
      <c r="G525" s="94" t="s">
        <v>64</v>
      </c>
      <c r="H525" s="94" t="s">
        <v>65</v>
      </c>
      <c r="I525" s="94" t="s">
        <v>66</v>
      </c>
      <c r="J525" s="27" t="s">
        <v>67</v>
      </c>
      <c r="K525" s="94" t="s">
        <v>89</v>
      </c>
      <c r="L525" s="94" t="s">
        <v>69</v>
      </c>
      <c r="M525" s="94" t="s">
        <v>70</v>
      </c>
      <c r="N525" s="94" t="s">
        <v>71</v>
      </c>
      <c r="O525" s="94" t="s">
        <v>72</v>
      </c>
      <c r="P525" s="96" t="s">
        <v>73</v>
      </c>
      <c r="Q525" s="98"/>
      <c r="R525" s="105"/>
    </row>
    <row r="526" spans="1:18" ht="18" thickBot="1">
      <c r="A526" s="95"/>
      <c r="B526" s="95"/>
      <c r="C526" s="95"/>
      <c r="D526" s="95"/>
      <c r="E526" s="95"/>
      <c r="F526" s="95"/>
      <c r="G526" s="95"/>
      <c r="H526" s="95"/>
      <c r="I526" s="95"/>
      <c r="J526" s="28" t="s">
        <v>74</v>
      </c>
      <c r="K526" s="95"/>
      <c r="L526" s="95"/>
      <c r="M526" s="95"/>
      <c r="N526" s="95"/>
      <c r="O526" s="95"/>
      <c r="P526" s="99"/>
      <c r="Q526" s="101"/>
      <c r="R526" s="105"/>
    </row>
    <row r="527" spans="1:18" ht="18" thickBot="1">
      <c r="A527" s="29" t="s">
        <v>16</v>
      </c>
      <c r="B527" s="28" t="s">
        <v>76</v>
      </c>
      <c r="C527" s="28">
        <v>1</v>
      </c>
      <c r="D527" s="30">
        <v>2769.57</v>
      </c>
      <c r="E527" s="30">
        <v>2844</v>
      </c>
      <c r="F527" s="30">
        <v>5613.57</v>
      </c>
      <c r="G527" s="30">
        <v>604.71</v>
      </c>
      <c r="H527" s="30">
        <v>1000</v>
      </c>
      <c r="I527" s="28" t="s">
        <v>77</v>
      </c>
      <c r="J527" s="30">
        <v>7218.28</v>
      </c>
      <c r="K527" s="30">
        <v>86619.36</v>
      </c>
      <c r="L527" s="30">
        <v>5613.37</v>
      </c>
      <c r="M527" s="30">
        <v>1871.19</v>
      </c>
      <c r="N527" s="30">
        <v>751.94</v>
      </c>
      <c r="O527" s="30">
        <v>94856.06</v>
      </c>
      <c r="P527" s="102">
        <v>94856.06</v>
      </c>
      <c r="Q527" s="104"/>
      <c r="R527" s="26"/>
    </row>
    <row r="528" spans="1:18" ht="18" thickBot="1">
      <c r="A528" s="106" t="s">
        <v>78</v>
      </c>
      <c r="B528" s="107"/>
      <c r="C528" s="28"/>
      <c r="D528" s="30">
        <v>2769.57</v>
      </c>
      <c r="E528" s="30">
        <v>2844</v>
      </c>
      <c r="F528" s="30">
        <v>5613.57</v>
      </c>
      <c r="G528" s="30">
        <v>604.71</v>
      </c>
      <c r="H528" s="30">
        <v>1000</v>
      </c>
      <c r="I528" s="28" t="s">
        <v>77</v>
      </c>
      <c r="J528" s="30">
        <v>7218.28</v>
      </c>
      <c r="K528" s="30">
        <v>86619.36</v>
      </c>
      <c r="L528" s="36">
        <v>5613.37</v>
      </c>
      <c r="M528" s="30">
        <v>1871.19</v>
      </c>
      <c r="N528" s="30">
        <v>751.94</v>
      </c>
      <c r="O528" s="30">
        <v>94856.06</v>
      </c>
      <c r="P528" s="102">
        <v>94856.06</v>
      </c>
      <c r="Q528" s="104"/>
      <c r="R528" s="26"/>
    </row>
    <row r="529" spans="1:18" ht="35" thickBot="1">
      <c r="A529" s="94" t="s">
        <v>44</v>
      </c>
      <c r="B529" s="94" t="s">
        <v>45</v>
      </c>
      <c r="C529" s="28" t="s">
        <v>46</v>
      </c>
      <c r="D529" s="28" t="s">
        <v>47</v>
      </c>
      <c r="E529" s="28" t="s">
        <v>48</v>
      </c>
      <c r="F529" s="28" t="s">
        <v>49</v>
      </c>
      <c r="G529" s="28" t="s">
        <v>50</v>
      </c>
      <c r="H529" s="28" t="s">
        <v>51</v>
      </c>
      <c r="I529" s="28" t="s">
        <v>52</v>
      </c>
      <c r="J529" s="28" t="s">
        <v>53</v>
      </c>
      <c r="K529" s="28" t="s">
        <v>88</v>
      </c>
      <c r="L529" s="28" t="s">
        <v>55</v>
      </c>
      <c r="M529" s="28" t="s">
        <v>56</v>
      </c>
      <c r="N529" s="28" t="s">
        <v>57</v>
      </c>
      <c r="O529" s="28" t="s">
        <v>58</v>
      </c>
      <c r="P529" s="99" t="s">
        <v>59</v>
      </c>
      <c r="Q529" s="100"/>
      <c r="R529" s="101"/>
    </row>
    <row r="530" spans="1:18" ht="17">
      <c r="A530" s="108"/>
      <c r="B530" s="108"/>
      <c r="C530" s="94" t="s">
        <v>60</v>
      </c>
      <c r="D530" s="94" t="s">
        <v>61</v>
      </c>
      <c r="E530" s="94" t="s">
        <v>62</v>
      </c>
      <c r="F530" s="94" t="s">
        <v>63</v>
      </c>
      <c r="G530" s="94" t="s">
        <v>64</v>
      </c>
      <c r="H530" s="94" t="s">
        <v>65</v>
      </c>
      <c r="I530" s="94" t="s">
        <v>66</v>
      </c>
      <c r="J530" s="27" t="s">
        <v>67</v>
      </c>
      <c r="K530" s="94" t="s">
        <v>89</v>
      </c>
      <c r="L530" s="94" t="s">
        <v>69</v>
      </c>
      <c r="M530" s="94" t="s">
        <v>70</v>
      </c>
      <c r="N530" s="94" t="s">
        <v>71</v>
      </c>
      <c r="O530" s="94" t="s">
        <v>72</v>
      </c>
      <c r="P530" s="96" t="s">
        <v>73</v>
      </c>
      <c r="Q530" s="97"/>
      <c r="R530" s="98"/>
    </row>
    <row r="531" spans="1:18" ht="18" thickBot="1">
      <c r="A531" s="95"/>
      <c r="B531" s="95"/>
      <c r="C531" s="95"/>
      <c r="D531" s="95"/>
      <c r="E531" s="95"/>
      <c r="F531" s="95"/>
      <c r="G531" s="95"/>
      <c r="H531" s="95"/>
      <c r="I531" s="95"/>
      <c r="J531" s="28" t="s">
        <v>74</v>
      </c>
      <c r="K531" s="95"/>
      <c r="L531" s="95"/>
      <c r="M531" s="95"/>
      <c r="N531" s="95"/>
      <c r="O531" s="95"/>
      <c r="P531" s="99"/>
      <c r="Q531" s="100"/>
      <c r="R531" s="101"/>
    </row>
    <row r="532" spans="1:18" ht="18" thickBot="1">
      <c r="A532" s="3" t="s">
        <v>17</v>
      </c>
      <c r="B532" s="28" t="s">
        <v>76</v>
      </c>
      <c r="C532" s="28">
        <v>1</v>
      </c>
      <c r="D532" s="30">
        <v>2769.57</v>
      </c>
      <c r="E532" s="30">
        <v>2844</v>
      </c>
      <c r="F532" s="30">
        <v>5613.57</v>
      </c>
      <c r="G532" s="30">
        <v>604.71</v>
      </c>
      <c r="H532" s="30">
        <v>1000</v>
      </c>
      <c r="I532" s="28" t="s">
        <v>77</v>
      </c>
      <c r="J532" s="30">
        <v>7218.28</v>
      </c>
      <c r="K532" s="30">
        <v>86619.36</v>
      </c>
      <c r="L532" s="30">
        <v>5613.37</v>
      </c>
      <c r="M532" s="30">
        <v>1871.19</v>
      </c>
      <c r="N532" s="30">
        <v>751.94</v>
      </c>
      <c r="O532" s="30">
        <v>94856.06</v>
      </c>
      <c r="P532" s="102">
        <v>94856.06</v>
      </c>
      <c r="Q532" s="103"/>
      <c r="R532" s="104"/>
    </row>
    <row r="533" spans="1:18" ht="18" thickBot="1">
      <c r="A533" s="92" t="s">
        <v>78</v>
      </c>
      <c r="B533" s="93"/>
      <c r="C533" s="28"/>
      <c r="D533" s="30">
        <v>2769.57</v>
      </c>
      <c r="E533" s="30">
        <v>2844</v>
      </c>
      <c r="F533" s="30">
        <v>5613.57</v>
      </c>
      <c r="G533" s="30">
        <v>604.71</v>
      </c>
      <c r="H533" s="30">
        <v>1000</v>
      </c>
      <c r="I533" s="28" t="s">
        <v>77</v>
      </c>
      <c r="J533" s="30">
        <v>7218.28</v>
      </c>
      <c r="K533" s="30">
        <v>86619.36</v>
      </c>
      <c r="L533" s="36">
        <v>5613.37</v>
      </c>
      <c r="M533" s="30">
        <v>1871.19</v>
      </c>
      <c r="N533" s="30">
        <v>751.94</v>
      </c>
      <c r="O533" s="30">
        <v>94856.06</v>
      </c>
      <c r="P533" s="102">
        <v>94856.06</v>
      </c>
      <c r="Q533" s="103"/>
      <c r="R533" s="104"/>
    </row>
    <row r="534" spans="1:18" ht="35" thickBot="1">
      <c r="A534" s="94" t="s">
        <v>44</v>
      </c>
      <c r="B534" s="94" t="s">
        <v>45</v>
      </c>
      <c r="C534" s="28" t="s">
        <v>46</v>
      </c>
      <c r="D534" s="28" t="s">
        <v>47</v>
      </c>
      <c r="E534" s="28" t="s">
        <v>48</v>
      </c>
      <c r="F534" s="28" t="s">
        <v>49</v>
      </c>
      <c r="G534" s="28" t="s">
        <v>50</v>
      </c>
      <c r="H534" s="28" t="s">
        <v>51</v>
      </c>
      <c r="I534" s="28" t="s">
        <v>52</v>
      </c>
      <c r="J534" s="28" t="s">
        <v>53</v>
      </c>
      <c r="K534" s="28" t="s">
        <v>88</v>
      </c>
      <c r="L534" s="28" t="s">
        <v>55</v>
      </c>
      <c r="M534" s="28" t="s">
        <v>56</v>
      </c>
      <c r="N534" s="28" t="s">
        <v>57</v>
      </c>
      <c r="O534" s="28" t="s">
        <v>58</v>
      </c>
      <c r="P534" s="92" t="s">
        <v>59</v>
      </c>
      <c r="Q534" s="110"/>
      <c r="R534" s="93"/>
    </row>
    <row r="535" spans="1:18" ht="17">
      <c r="A535" s="108"/>
      <c r="B535" s="108"/>
      <c r="C535" s="94" t="s">
        <v>60</v>
      </c>
      <c r="D535" s="94" t="s">
        <v>61</v>
      </c>
      <c r="E535" s="94" t="s">
        <v>62</v>
      </c>
      <c r="F535" s="94" t="s">
        <v>63</v>
      </c>
      <c r="G535" s="94" t="s">
        <v>64</v>
      </c>
      <c r="H535" s="94" t="s">
        <v>65</v>
      </c>
      <c r="I535" s="94" t="s">
        <v>66</v>
      </c>
      <c r="J535" s="27" t="s">
        <v>67</v>
      </c>
      <c r="K535" s="94" t="s">
        <v>89</v>
      </c>
      <c r="L535" s="94" t="s">
        <v>69</v>
      </c>
      <c r="M535" s="94" t="s">
        <v>70</v>
      </c>
      <c r="N535" s="94" t="s">
        <v>71</v>
      </c>
      <c r="O535" s="94" t="s">
        <v>72</v>
      </c>
      <c r="P535" s="96" t="s">
        <v>73</v>
      </c>
      <c r="Q535" s="97"/>
      <c r="R535" s="98"/>
    </row>
    <row r="536" spans="1:18" ht="18" thickBot="1">
      <c r="A536" s="95"/>
      <c r="B536" s="95"/>
      <c r="C536" s="95"/>
      <c r="D536" s="95"/>
      <c r="E536" s="95"/>
      <c r="F536" s="95"/>
      <c r="G536" s="95"/>
      <c r="H536" s="95"/>
      <c r="I536" s="95"/>
      <c r="J536" s="28" t="s">
        <v>74</v>
      </c>
      <c r="K536" s="95"/>
      <c r="L536" s="95"/>
      <c r="M536" s="95"/>
      <c r="N536" s="95"/>
      <c r="O536" s="95"/>
      <c r="P536" s="99"/>
      <c r="Q536" s="100"/>
      <c r="R536" s="101"/>
    </row>
    <row r="537" spans="1:18" ht="18" thickBot="1">
      <c r="A537" s="3" t="s">
        <v>18</v>
      </c>
      <c r="B537" s="28" t="s">
        <v>76</v>
      </c>
      <c r="C537" s="28">
        <v>1</v>
      </c>
      <c r="D537" s="30">
        <v>2769.57</v>
      </c>
      <c r="E537" s="30">
        <v>2844</v>
      </c>
      <c r="F537" s="30">
        <v>5613.57</v>
      </c>
      <c r="G537" s="30">
        <v>604.71</v>
      </c>
      <c r="H537" s="30">
        <v>1000</v>
      </c>
      <c r="I537" s="28" t="s">
        <v>77</v>
      </c>
      <c r="J537" s="30">
        <v>7218.28</v>
      </c>
      <c r="K537" s="30">
        <v>86619.36</v>
      </c>
      <c r="L537" s="30">
        <v>5613.37</v>
      </c>
      <c r="M537" s="30">
        <v>1871.19</v>
      </c>
      <c r="N537" s="30">
        <v>751.94</v>
      </c>
      <c r="O537" s="30">
        <v>94856.06</v>
      </c>
      <c r="P537" s="102">
        <v>94856.06</v>
      </c>
      <c r="Q537" s="103"/>
      <c r="R537" s="104"/>
    </row>
    <row r="538" spans="1:18" ht="18" thickBot="1">
      <c r="A538" s="106" t="s">
        <v>78</v>
      </c>
      <c r="B538" s="107"/>
      <c r="C538" s="28"/>
      <c r="D538" s="30">
        <v>2769.57</v>
      </c>
      <c r="E538" s="30">
        <v>2844</v>
      </c>
      <c r="F538" s="30">
        <v>5613.57</v>
      </c>
      <c r="G538" s="30">
        <v>604.71</v>
      </c>
      <c r="H538" s="30">
        <v>1000</v>
      </c>
      <c r="I538" s="28" t="s">
        <v>77</v>
      </c>
      <c r="J538" s="30">
        <v>7218.28</v>
      </c>
      <c r="K538" s="30">
        <v>86619.36</v>
      </c>
      <c r="L538" s="36">
        <v>5613.37</v>
      </c>
      <c r="M538" s="30">
        <v>1871.19</v>
      </c>
      <c r="N538" s="30">
        <v>751.94</v>
      </c>
      <c r="O538" s="30">
        <v>94856.06</v>
      </c>
      <c r="P538" s="102">
        <v>94856.06</v>
      </c>
      <c r="Q538" s="103"/>
      <c r="R538" s="104"/>
    </row>
    <row r="539" spans="1:18">
      <c r="A539" s="37" t="s">
        <v>99</v>
      </c>
    </row>
    <row r="540" spans="1:18" ht="17" thickBot="1">
      <c r="A540" s="33"/>
    </row>
    <row r="541" spans="1:18" ht="35" thickBot="1">
      <c r="A541" s="94" t="s">
        <v>44</v>
      </c>
      <c r="B541" s="94" t="s">
        <v>45</v>
      </c>
      <c r="C541" s="23" t="s">
        <v>46</v>
      </c>
      <c r="D541" s="23" t="s">
        <v>47</v>
      </c>
      <c r="E541" s="23" t="s">
        <v>48</v>
      </c>
      <c r="F541" s="23" t="s">
        <v>49</v>
      </c>
      <c r="G541" s="23" t="s">
        <v>50</v>
      </c>
      <c r="H541" s="23" t="s">
        <v>51</v>
      </c>
      <c r="I541" s="23" t="s">
        <v>52</v>
      </c>
      <c r="J541" s="23" t="s">
        <v>53</v>
      </c>
      <c r="K541" s="23" t="s">
        <v>88</v>
      </c>
      <c r="L541" s="23" t="s">
        <v>55</v>
      </c>
      <c r="M541" s="23" t="s">
        <v>56</v>
      </c>
      <c r="N541" s="23" t="s">
        <v>57</v>
      </c>
      <c r="O541" s="23" t="s">
        <v>58</v>
      </c>
      <c r="P541" s="25" t="s">
        <v>59</v>
      </c>
      <c r="Q541" s="26"/>
      <c r="R541" s="26"/>
    </row>
    <row r="542" spans="1:18" ht="17">
      <c r="A542" s="108"/>
      <c r="B542" s="108"/>
      <c r="C542" s="94" t="s">
        <v>60</v>
      </c>
      <c r="D542" s="94" t="s">
        <v>61</v>
      </c>
      <c r="E542" s="94" t="s">
        <v>62</v>
      </c>
      <c r="F542" s="94" t="s">
        <v>63</v>
      </c>
      <c r="G542" s="94" t="s">
        <v>64</v>
      </c>
      <c r="H542" s="94" t="s">
        <v>65</v>
      </c>
      <c r="I542" s="94" t="s">
        <v>66</v>
      </c>
      <c r="J542" s="27" t="s">
        <v>67</v>
      </c>
      <c r="K542" s="94" t="s">
        <v>89</v>
      </c>
      <c r="L542" s="94" t="s">
        <v>69</v>
      </c>
      <c r="M542" s="94" t="s">
        <v>70</v>
      </c>
      <c r="N542" s="94" t="s">
        <v>71</v>
      </c>
      <c r="O542" s="94" t="s">
        <v>72</v>
      </c>
      <c r="P542" s="94" t="s">
        <v>73</v>
      </c>
      <c r="Q542" s="105"/>
      <c r="R542" s="109"/>
    </row>
    <row r="543" spans="1:18" ht="18" thickBot="1">
      <c r="A543" s="95"/>
      <c r="B543" s="95"/>
      <c r="C543" s="95"/>
      <c r="D543" s="95"/>
      <c r="E543" s="95"/>
      <c r="F543" s="95"/>
      <c r="G543" s="95"/>
      <c r="H543" s="95"/>
      <c r="I543" s="95"/>
      <c r="J543" s="28" t="s">
        <v>74</v>
      </c>
      <c r="K543" s="95"/>
      <c r="L543" s="95"/>
      <c r="M543" s="95"/>
      <c r="N543" s="95"/>
      <c r="O543" s="95"/>
      <c r="P543" s="95"/>
      <c r="Q543" s="105"/>
      <c r="R543" s="109"/>
    </row>
    <row r="544" spans="1:18" ht="18" thickBot="1">
      <c r="A544" s="35" t="s">
        <v>19</v>
      </c>
      <c r="B544" s="28" t="s">
        <v>76</v>
      </c>
      <c r="C544" s="28">
        <v>1</v>
      </c>
      <c r="D544" s="30">
        <v>2769.57</v>
      </c>
      <c r="E544" s="30">
        <v>2844</v>
      </c>
      <c r="F544" s="30">
        <v>5613.57</v>
      </c>
      <c r="G544" s="30">
        <v>604.71</v>
      </c>
      <c r="H544" s="30">
        <v>1000</v>
      </c>
      <c r="I544" s="28" t="s">
        <v>77</v>
      </c>
      <c r="J544" s="30">
        <v>7218.28</v>
      </c>
      <c r="K544" s="30">
        <v>86619.36</v>
      </c>
      <c r="L544" s="30">
        <v>5613.37</v>
      </c>
      <c r="M544" s="30">
        <v>1871.19</v>
      </c>
      <c r="N544" s="30">
        <v>751.94</v>
      </c>
      <c r="O544" s="30">
        <v>94856.06</v>
      </c>
      <c r="P544" s="31">
        <v>94856.06</v>
      </c>
      <c r="Q544" s="26"/>
      <c r="R544" s="26"/>
    </row>
    <row r="545" spans="1:18" ht="18" thickBot="1">
      <c r="A545" s="106" t="s">
        <v>78</v>
      </c>
      <c r="B545" s="107"/>
      <c r="C545" s="28"/>
      <c r="D545" s="30">
        <v>2769.57</v>
      </c>
      <c r="E545" s="30">
        <v>2844</v>
      </c>
      <c r="F545" s="30">
        <v>5613.57</v>
      </c>
      <c r="G545" s="30">
        <v>604.71</v>
      </c>
      <c r="H545" s="30">
        <v>1000</v>
      </c>
      <c r="I545" s="28" t="s">
        <v>77</v>
      </c>
      <c r="J545" s="30">
        <v>7218.28</v>
      </c>
      <c r="K545" s="30">
        <v>86619.36</v>
      </c>
      <c r="L545" s="36">
        <v>5613.37</v>
      </c>
      <c r="M545" s="30">
        <v>1871.19</v>
      </c>
      <c r="N545" s="30">
        <v>751.94</v>
      </c>
      <c r="O545" s="30">
        <v>94856.06</v>
      </c>
      <c r="P545" s="31">
        <v>94856.06</v>
      </c>
      <c r="Q545" s="26"/>
      <c r="R545" s="26"/>
    </row>
    <row r="546" spans="1:18" ht="35" thickBot="1">
      <c r="A546" s="94" t="s">
        <v>44</v>
      </c>
      <c r="B546" s="94" t="s">
        <v>45</v>
      </c>
      <c r="C546" s="28" t="s">
        <v>46</v>
      </c>
      <c r="D546" s="28" t="s">
        <v>47</v>
      </c>
      <c r="E546" s="28" t="s">
        <v>48</v>
      </c>
      <c r="F546" s="28" t="s">
        <v>49</v>
      </c>
      <c r="G546" s="28" t="s">
        <v>50</v>
      </c>
      <c r="H546" s="28" t="s">
        <v>51</v>
      </c>
      <c r="I546" s="28" t="s">
        <v>52</v>
      </c>
      <c r="J546" s="28" t="s">
        <v>53</v>
      </c>
      <c r="K546" s="28" t="s">
        <v>88</v>
      </c>
      <c r="L546" s="28" t="s">
        <v>55</v>
      </c>
      <c r="M546" s="28" t="s">
        <v>56</v>
      </c>
      <c r="N546" s="28" t="s">
        <v>57</v>
      </c>
      <c r="O546" s="28" t="s">
        <v>58</v>
      </c>
      <c r="P546" s="99" t="s">
        <v>59</v>
      </c>
      <c r="Q546" s="101"/>
      <c r="R546" s="26"/>
    </row>
    <row r="547" spans="1:18" ht="17">
      <c r="A547" s="108"/>
      <c r="B547" s="108"/>
      <c r="C547" s="94" t="s">
        <v>60</v>
      </c>
      <c r="D547" s="94" t="s">
        <v>61</v>
      </c>
      <c r="E547" s="94" t="s">
        <v>62</v>
      </c>
      <c r="F547" s="94" t="s">
        <v>63</v>
      </c>
      <c r="G547" s="94" t="s">
        <v>64</v>
      </c>
      <c r="H547" s="94" t="s">
        <v>65</v>
      </c>
      <c r="I547" s="94" t="s">
        <v>66</v>
      </c>
      <c r="J547" s="27" t="s">
        <v>67</v>
      </c>
      <c r="K547" s="94" t="s">
        <v>89</v>
      </c>
      <c r="L547" s="94" t="s">
        <v>69</v>
      </c>
      <c r="M547" s="94" t="s">
        <v>70</v>
      </c>
      <c r="N547" s="94" t="s">
        <v>71</v>
      </c>
      <c r="O547" s="94" t="s">
        <v>72</v>
      </c>
      <c r="P547" s="96" t="s">
        <v>73</v>
      </c>
      <c r="Q547" s="98"/>
      <c r="R547" s="105"/>
    </row>
    <row r="548" spans="1:18" ht="18" thickBot="1">
      <c r="A548" s="95"/>
      <c r="B548" s="95"/>
      <c r="C548" s="95"/>
      <c r="D548" s="95"/>
      <c r="E548" s="95"/>
      <c r="F548" s="95"/>
      <c r="G548" s="95"/>
      <c r="H548" s="95"/>
      <c r="I548" s="95"/>
      <c r="J548" s="28" t="s">
        <v>74</v>
      </c>
      <c r="K548" s="95"/>
      <c r="L548" s="95"/>
      <c r="M548" s="95"/>
      <c r="N548" s="95"/>
      <c r="O548" s="95"/>
      <c r="P548" s="99"/>
      <c r="Q548" s="101"/>
      <c r="R548" s="105"/>
    </row>
    <row r="549" spans="1:18" ht="18" thickBot="1">
      <c r="A549" s="35" t="s">
        <v>20</v>
      </c>
      <c r="B549" s="28" t="s">
        <v>76</v>
      </c>
      <c r="C549" s="28">
        <v>1</v>
      </c>
      <c r="D549" s="30">
        <v>2769.57</v>
      </c>
      <c r="E549" s="30">
        <v>4390.3</v>
      </c>
      <c r="F549" s="30">
        <v>7159.87</v>
      </c>
      <c r="G549" s="30">
        <v>821.15</v>
      </c>
      <c r="H549" s="30">
        <v>1000</v>
      </c>
      <c r="I549" s="28" t="s">
        <v>77</v>
      </c>
      <c r="J549" s="30">
        <v>8981.02</v>
      </c>
      <c r="K549" s="30">
        <v>107772.24</v>
      </c>
      <c r="L549" s="30">
        <v>7159.87</v>
      </c>
      <c r="M549" s="30">
        <v>2386.62</v>
      </c>
      <c r="N549" s="30">
        <v>1014.76</v>
      </c>
      <c r="O549" s="30">
        <v>118333.49</v>
      </c>
      <c r="P549" s="102">
        <v>118333.49</v>
      </c>
      <c r="Q549" s="104"/>
      <c r="R549" s="26"/>
    </row>
    <row r="550" spans="1:18" ht="18" thickBot="1">
      <c r="A550" s="106" t="s">
        <v>78</v>
      </c>
      <c r="B550" s="107"/>
      <c r="C550" s="28"/>
      <c r="D550" s="30">
        <v>2769.57</v>
      </c>
      <c r="E550" s="30">
        <v>4390.3</v>
      </c>
      <c r="F550" s="30">
        <v>7159.87</v>
      </c>
      <c r="G550" s="30">
        <v>821.15</v>
      </c>
      <c r="H550" s="30">
        <v>1000</v>
      </c>
      <c r="I550" s="28" t="s">
        <v>77</v>
      </c>
      <c r="J550" s="30">
        <v>8981.02</v>
      </c>
      <c r="K550" s="30">
        <v>107772.24</v>
      </c>
      <c r="L550" s="30">
        <v>7159.87</v>
      </c>
      <c r="M550" s="30">
        <v>2386.62</v>
      </c>
      <c r="N550" s="30">
        <v>1014.76</v>
      </c>
      <c r="O550" s="30">
        <v>118333.49</v>
      </c>
      <c r="P550" s="102">
        <v>118333.49</v>
      </c>
      <c r="Q550" s="104"/>
      <c r="R550" s="26"/>
    </row>
    <row r="551" spans="1:18" ht="35" thickBot="1">
      <c r="A551" s="94" t="s">
        <v>44</v>
      </c>
      <c r="B551" s="94" t="s">
        <v>45</v>
      </c>
      <c r="C551" s="28" t="s">
        <v>46</v>
      </c>
      <c r="D551" s="28" t="s">
        <v>47</v>
      </c>
      <c r="E551" s="28" t="s">
        <v>48</v>
      </c>
      <c r="F551" s="28" t="s">
        <v>49</v>
      </c>
      <c r="G551" s="28" t="s">
        <v>50</v>
      </c>
      <c r="H551" s="28" t="s">
        <v>51</v>
      </c>
      <c r="I551" s="28" t="s">
        <v>52</v>
      </c>
      <c r="J551" s="28" t="s">
        <v>53</v>
      </c>
      <c r="K551" s="28" t="s">
        <v>88</v>
      </c>
      <c r="L551" s="28" t="s">
        <v>55</v>
      </c>
      <c r="M551" s="28" t="s">
        <v>56</v>
      </c>
      <c r="N551" s="28" t="s">
        <v>57</v>
      </c>
      <c r="O551" s="28" t="s">
        <v>58</v>
      </c>
      <c r="P551" s="99" t="s">
        <v>59</v>
      </c>
      <c r="Q551" s="100"/>
      <c r="R551" s="101"/>
    </row>
    <row r="552" spans="1:18" ht="17">
      <c r="A552" s="108"/>
      <c r="B552" s="108"/>
      <c r="C552" s="94" t="s">
        <v>60</v>
      </c>
      <c r="D552" s="94" t="s">
        <v>61</v>
      </c>
      <c r="E552" s="94" t="s">
        <v>62</v>
      </c>
      <c r="F552" s="94" t="s">
        <v>63</v>
      </c>
      <c r="G552" s="94" t="s">
        <v>64</v>
      </c>
      <c r="H552" s="94" t="s">
        <v>65</v>
      </c>
      <c r="I552" s="94" t="s">
        <v>66</v>
      </c>
      <c r="J552" s="27" t="s">
        <v>67</v>
      </c>
      <c r="K552" s="94" t="s">
        <v>89</v>
      </c>
      <c r="L552" s="94" t="s">
        <v>69</v>
      </c>
      <c r="M552" s="94" t="s">
        <v>70</v>
      </c>
      <c r="N552" s="94" t="s">
        <v>71</v>
      </c>
      <c r="O552" s="94" t="s">
        <v>72</v>
      </c>
      <c r="P552" s="96" t="s">
        <v>73</v>
      </c>
      <c r="Q552" s="97"/>
      <c r="R552" s="98"/>
    </row>
    <row r="553" spans="1:18" ht="18" thickBot="1">
      <c r="A553" s="95"/>
      <c r="B553" s="95"/>
      <c r="C553" s="95"/>
      <c r="D553" s="95"/>
      <c r="E553" s="95"/>
      <c r="F553" s="95"/>
      <c r="G553" s="95"/>
      <c r="H553" s="95"/>
      <c r="I553" s="95"/>
      <c r="J553" s="28" t="s">
        <v>74</v>
      </c>
      <c r="K553" s="95"/>
      <c r="L553" s="95"/>
      <c r="M553" s="95"/>
      <c r="N553" s="95"/>
      <c r="O553" s="95"/>
      <c r="P553" s="99"/>
      <c r="Q553" s="100"/>
      <c r="R553" s="101"/>
    </row>
    <row r="554" spans="1:18" ht="18" thickBot="1">
      <c r="A554" s="29" t="s">
        <v>21</v>
      </c>
      <c r="B554" s="28" t="s">
        <v>82</v>
      </c>
      <c r="C554" s="28">
        <v>1</v>
      </c>
      <c r="D554" s="30">
        <v>2182.59</v>
      </c>
      <c r="E554" s="30">
        <v>2604.88</v>
      </c>
      <c r="F554" s="30">
        <v>4787.47</v>
      </c>
      <c r="G554" s="30">
        <v>489.06</v>
      </c>
      <c r="H554" s="30">
        <v>1000</v>
      </c>
      <c r="I554" s="28" t="s">
        <v>77</v>
      </c>
      <c r="J554" s="30">
        <v>6276.53</v>
      </c>
      <c r="K554" s="30">
        <v>75318.36</v>
      </c>
      <c r="L554" s="30">
        <v>4787.47</v>
      </c>
      <c r="M554" s="30">
        <v>1595.82</v>
      </c>
      <c r="N554" s="30">
        <v>712.47</v>
      </c>
      <c r="O554" s="30">
        <v>82414.12</v>
      </c>
      <c r="P554" s="102">
        <v>82414.12</v>
      </c>
      <c r="Q554" s="103"/>
      <c r="R554" s="104"/>
    </row>
    <row r="555" spans="1:18" ht="18" thickBot="1">
      <c r="A555" s="92" t="s">
        <v>78</v>
      </c>
      <c r="B555" s="93"/>
      <c r="C555" s="28"/>
      <c r="D555" s="30">
        <v>2182.59</v>
      </c>
      <c r="E555" s="30">
        <v>2604.88</v>
      </c>
      <c r="F555" s="30">
        <v>4787.47</v>
      </c>
      <c r="G555" s="30">
        <v>489.06</v>
      </c>
      <c r="H555" s="30">
        <v>1000</v>
      </c>
      <c r="I555" s="28" t="s">
        <v>77</v>
      </c>
      <c r="J555" s="30">
        <v>6276.53</v>
      </c>
      <c r="K555" s="30">
        <v>75318.36</v>
      </c>
      <c r="L555" s="30">
        <v>4787.47</v>
      </c>
      <c r="M555" s="30">
        <v>1595.82</v>
      </c>
      <c r="N555" s="30">
        <v>712.47</v>
      </c>
      <c r="O555" s="30">
        <v>82414.12</v>
      </c>
      <c r="P555" s="102">
        <v>82414.12</v>
      </c>
      <c r="Q555" s="103"/>
      <c r="R555" s="104"/>
    </row>
    <row r="556" spans="1:18">
      <c r="A556" s="32" t="s">
        <v>94</v>
      </c>
    </row>
    <row r="557" spans="1:18">
      <c r="A557" s="32"/>
    </row>
    <row r="558" spans="1:18">
      <c r="A558" s="32"/>
    </row>
    <row r="559" spans="1:18">
      <c r="A559" s="32"/>
    </row>
    <row r="560" spans="1:18">
      <c r="A560" s="39" t="s">
        <v>100</v>
      </c>
    </row>
    <row r="561" spans="1:2" ht="17" thickBot="1">
      <c r="A561" s="40"/>
    </row>
    <row r="562" spans="1:2" ht="25.5" customHeight="1" thickBot="1">
      <c r="A562" s="92" t="s">
        <v>95</v>
      </c>
      <c r="B562" s="93"/>
    </row>
    <row r="563" spans="1:2" ht="18" thickBot="1">
      <c r="A563" s="28" t="s">
        <v>96</v>
      </c>
      <c r="B563" s="19" t="s">
        <v>97</v>
      </c>
    </row>
    <row r="564" spans="1:2" ht="17" thickBot="1">
      <c r="A564" s="28">
        <v>2026</v>
      </c>
      <c r="B564" s="31">
        <v>9011970.0800000001</v>
      </c>
    </row>
    <row r="565" spans="1:2" ht="17" thickBot="1">
      <c r="A565" s="28">
        <v>2027</v>
      </c>
      <c r="B565" s="31">
        <v>12307900.08</v>
      </c>
    </row>
    <row r="566" spans="1:2" ht="17" thickBot="1">
      <c r="A566" s="28">
        <v>2028</v>
      </c>
      <c r="B566" s="31">
        <v>12307900.08</v>
      </c>
    </row>
  </sheetData>
  <mergeCells count="1671">
    <mergeCell ref="O7:O8"/>
    <mergeCell ref="P7:P8"/>
    <mergeCell ref="A10:B10"/>
    <mergeCell ref="A11:A13"/>
    <mergeCell ref="B11:B13"/>
    <mergeCell ref="C12:C13"/>
    <mergeCell ref="D12:D13"/>
    <mergeCell ref="E12:E13"/>
    <mergeCell ref="F12:F13"/>
    <mergeCell ref="G12:G13"/>
    <mergeCell ref="G7:G8"/>
    <mergeCell ref="H7:H8"/>
    <mergeCell ref="I7:I8"/>
    <mergeCell ref="L7:L8"/>
    <mergeCell ref="M7:M8"/>
    <mergeCell ref="N7:N8"/>
    <mergeCell ref="A6:A8"/>
    <mergeCell ref="B6:B8"/>
    <mergeCell ref="C7:C8"/>
    <mergeCell ref="D7:D8"/>
    <mergeCell ref="E7:E8"/>
    <mergeCell ref="F7:F8"/>
    <mergeCell ref="A20:B20"/>
    <mergeCell ref="A24:A26"/>
    <mergeCell ref="B24:B26"/>
    <mergeCell ref="C25:C26"/>
    <mergeCell ref="D25:D26"/>
    <mergeCell ref="E25:E26"/>
    <mergeCell ref="I17:I18"/>
    <mergeCell ref="L17:L18"/>
    <mergeCell ref="M17:M18"/>
    <mergeCell ref="N17:N18"/>
    <mergeCell ref="O17:O18"/>
    <mergeCell ref="P17:P18"/>
    <mergeCell ref="P12:P13"/>
    <mergeCell ref="A15:B15"/>
    <mergeCell ref="A16:A18"/>
    <mergeCell ref="B16:B18"/>
    <mergeCell ref="C17:C18"/>
    <mergeCell ref="D17:D18"/>
    <mergeCell ref="E17:E18"/>
    <mergeCell ref="F17:F18"/>
    <mergeCell ref="G17:G18"/>
    <mergeCell ref="H17:H18"/>
    <mergeCell ref="H12:H13"/>
    <mergeCell ref="I12:I13"/>
    <mergeCell ref="L12:L13"/>
    <mergeCell ref="M12:M13"/>
    <mergeCell ref="N12:N13"/>
    <mergeCell ref="O12:O13"/>
    <mergeCell ref="A28:B28"/>
    <mergeCell ref="A29:A31"/>
    <mergeCell ref="B29:B31"/>
    <mergeCell ref="P29:Q29"/>
    <mergeCell ref="C30:C31"/>
    <mergeCell ref="D30:D31"/>
    <mergeCell ref="E30:E31"/>
    <mergeCell ref="F30:F31"/>
    <mergeCell ref="G30:G31"/>
    <mergeCell ref="H30:H31"/>
    <mergeCell ref="M25:M26"/>
    <mergeCell ref="N25:N26"/>
    <mergeCell ref="O25:O26"/>
    <mergeCell ref="P25:P26"/>
    <mergeCell ref="Q25:Q26"/>
    <mergeCell ref="R25:R26"/>
    <mergeCell ref="F25:F26"/>
    <mergeCell ref="G25:G26"/>
    <mergeCell ref="H25:H26"/>
    <mergeCell ref="I25:I26"/>
    <mergeCell ref="K25:K26"/>
    <mergeCell ref="L25:L26"/>
    <mergeCell ref="L35:L36"/>
    <mergeCell ref="M35:M36"/>
    <mergeCell ref="N35:N36"/>
    <mergeCell ref="O35:O36"/>
    <mergeCell ref="P35:Q36"/>
    <mergeCell ref="R35:R36"/>
    <mergeCell ref="E35:E36"/>
    <mergeCell ref="F35:F36"/>
    <mergeCell ref="G35:G36"/>
    <mergeCell ref="H35:H36"/>
    <mergeCell ref="I35:I36"/>
    <mergeCell ref="K35:K36"/>
    <mergeCell ref="P30:Q31"/>
    <mergeCell ref="R30:R31"/>
    <mergeCell ref="P32:Q32"/>
    <mergeCell ref="A33:B33"/>
    <mergeCell ref="P33:Q33"/>
    <mergeCell ref="A34:A36"/>
    <mergeCell ref="B34:B36"/>
    <mergeCell ref="P34:Q34"/>
    <mergeCell ref="C35:C36"/>
    <mergeCell ref="D35:D36"/>
    <mergeCell ref="I30:I31"/>
    <mergeCell ref="K30:K31"/>
    <mergeCell ref="L30:L31"/>
    <mergeCell ref="M30:M31"/>
    <mergeCell ref="N30:N31"/>
    <mergeCell ref="O30:O31"/>
    <mergeCell ref="C44:C45"/>
    <mergeCell ref="A47:B47"/>
    <mergeCell ref="R43:S43"/>
    <mergeCell ref="D44:D45"/>
    <mergeCell ref="E44:E45"/>
    <mergeCell ref="F44:F45"/>
    <mergeCell ref="G44:G45"/>
    <mergeCell ref="H44:H45"/>
    <mergeCell ref="I44:I45"/>
    <mergeCell ref="K44:K45"/>
    <mergeCell ref="L44:L45"/>
    <mergeCell ref="P37:Q37"/>
    <mergeCell ref="A38:B38"/>
    <mergeCell ref="P38:Q38"/>
    <mergeCell ref="A43:A45"/>
    <mergeCell ref="B43:B45"/>
    <mergeCell ref="P43:Q43"/>
    <mergeCell ref="M44:M45"/>
    <mergeCell ref="N44:N45"/>
    <mergeCell ref="O44:O45"/>
    <mergeCell ref="P44:Q45"/>
    <mergeCell ref="R44:S45"/>
    <mergeCell ref="A67:B67"/>
    <mergeCell ref="A68:A70"/>
    <mergeCell ref="B68:B70"/>
    <mergeCell ref="P68:Q68"/>
    <mergeCell ref="C69:C70"/>
    <mergeCell ref="D69:D70"/>
    <mergeCell ref="H64:H65"/>
    <mergeCell ref="I64:I65"/>
    <mergeCell ref="K64:K65"/>
    <mergeCell ref="L64:L65"/>
    <mergeCell ref="M64:M65"/>
    <mergeCell ref="N64:N65"/>
    <mergeCell ref="C54:C55"/>
    <mergeCell ref="N54:N55"/>
    <mergeCell ref="O54:O55"/>
    <mergeCell ref="P54:P55"/>
    <mergeCell ref="Q54:Q55"/>
    <mergeCell ref="A53:A55"/>
    <mergeCell ref="B53:B55"/>
    <mergeCell ref="D54:D55"/>
    <mergeCell ref="E54:E55"/>
    <mergeCell ref="G54:G55"/>
    <mergeCell ref="H54:H55"/>
    <mergeCell ref="I54:I55"/>
    <mergeCell ref="K54:K55"/>
    <mergeCell ref="L54:L55"/>
    <mergeCell ref="M54:M55"/>
    <mergeCell ref="F54:F55"/>
    <mergeCell ref="F71:F72"/>
    <mergeCell ref="G71:G72"/>
    <mergeCell ref="L69:L70"/>
    <mergeCell ref="M69:M70"/>
    <mergeCell ref="N69:N70"/>
    <mergeCell ref="O69:O70"/>
    <mergeCell ref="P69:Q70"/>
    <mergeCell ref="R69:R70"/>
    <mergeCell ref="E69:E70"/>
    <mergeCell ref="F69:F70"/>
    <mergeCell ref="G69:G70"/>
    <mergeCell ref="H69:H70"/>
    <mergeCell ref="I69:I70"/>
    <mergeCell ref="K69:K70"/>
    <mergeCell ref="O64:O65"/>
    <mergeCell ref="P64:P65"/>
    <mergeCell ref="Q64:Q65"/>
    <mergeCell ref="R64:R65"/>
    <mergeCell ref="G64:G65"/>
    <mergeCell ref="K75:K76"/>
    <mergeCell ref="L75:L76"/>
    <mergeCell ref="M75:M76"/>
    <mergeCell ref="N75:N76"/>
    <mergeCell ref="O75:O76"/>
    <mergeCell ref="P75:R76"/>
    <mergeCell ref="A74:A76"/>
    <mergeCell ref="B74:B76"/>
    <mergeCell ref="P74:R74"/>
    <mergeCell ref="C75:C76"/>
    <mergeCell ref="D75:D76"/>
    <mergeCell ref="E75:E76"/>
    <mergeCell ref="F75:F76"/>
    <mergeCell ref="G75:G76"/>
    <mergeCell ref="H75:H76"/>
    <mergeCell ref="I75:I76"/>
    <mergeCell ref="N71:N72"/>
    <mergeCell ref="O71:O72"/>
    <mergeCell ref="P71:Q72"/>
    <mergeCell ref="R71:R72"/>
    <mergeCell ref="A73:B73"/>
    <mergeCell ref="P73:Q73"/>
    <mergeCell ref="H71:H72"/>
    <mergeCell ref="I71:I72"/>
    <mergeCell ref="J71:J72"/>
    <mergeCell ref="K71:K72"/>
    <mergeCell ref="L71:L72"/>
    <mergeCell ref="M71:M72"/>
    <mergeCell ref="B71:B72"/>
    <mergeCell ref="C71:C72"/>
    <mergeCell ref="D71:D72"/>
    <mergeCell ref="E71:E72"/>
    <mergeCell ref="N80:N81"/>
    <mergeCell ref="O80:O81"/>
    <mergeCell ref="P80:R81"/>
    <mergeCell ref="P82:R82"/>
    <mergeCell ref="A83:B83"/>
    <mergeCell ref="P83:R83"/>
    <mergeCell ref="G80:G81"/>
    <mergeCell ref="H80:H81"/>
    <mergeCell ref="I80:I81"/>
    <mergeCell ref="K80:K81"/>
    <mergeCell ref="L80:L81"/>
    <mergeCell ref="M80:M81"/>
    <mergeCell ref="P77:R77"/>
    <mergeCell ref="A78:B78"/>
    <mergeCell ref="P78:R78"/>
    <mergeCell ref="A79:A81"/>
    <mergeCell ref="B79:B81"/>
    <mergeCell ref="P79:R79"/>
    <mergeCell ref="C80:C81"/>
    <mergeCell ref="D80:D81"/>
    <mergeCell ref="E80:E81"/>
    <mergeCell ref="F80:F81"/>
    <mergeCell ref="C92:C93"/>
    <mergeCell ref="D92:D93"/>
    <mergeCell ref="E92:E93"/>
    <mergeCell ref="F92:F93"/>
    <mergeCell ref="G92:G93"/>
    <mergeCell ref="H92:H93"/>
    <mergeCell ref="I92:I93"/>
    <mergeCell ref="N87:N88"/>
    <mergeCell ref="O87:O88"/>
    <mergeCell ref="P87:P88"/>
    <mergeCell ref="Q87:Q88"/>
    <mergeCell ref="R87:R88"/>
    <mergeCell ref="A90:B90"/>
    <mergeCell ref="G87:G88"/>
    <mergeCell ref="H87:H88"/>
    <mergeCell ref="I87:I88"/>
    <mergeCell ref="K87:K88"/>
    <mergeCell ref="L87:L88"/>
    <mergeCell ref="M87:M88"/>
    <mergeCell ref="A86:A88"/>
    <mergeCell ref="B86:B88"/>
    <mergeCell ref="C87:C88"/>
    <mergeCell ref="D87:D88"/>
    <mergeCell ref="E87:E88"/>
    <mergeCell ref="F87:F88"/>
    <mergeCell ref="M97:M98"/>
    <mergeCell ref="N97:N98"/>
    <mergeCell ref="O97:O98"/>
    <mergeCell ref="P97:R98"/>
    <mergeCell ref="P99:R99"/>
    <mergeCell ref="A100:B100"/>
    <mergeCell ref="P100:R100"/>
    <mergeCell ref="F97:F98"/>
    <mergeCell ref="G97:G98"/>
    <mergeCell ref="H97:H98"/>
    <mergeCell ref="I97:I98"/>
    <mergeCell ref="K97:K98"/>
    <mergeCell ref="L97:L98"/>
    <mergeCell ref="R92:R93"/>
    <mergeCell ref="P94:Q94"/>
    <mergeCell ref="A95:B95"/>
    <mergeCell ref="P95:Q95"/>
    <mergeCell ref="A96:A98"/>
    <mergeCell ref="B96:B98"/>
    <mergeCell ref="P96:R96"/>
    <mergeCell ref="C97:C98"/>
    <mergeCell ref="D97:D98"/>
    <mergeCell ref="E97:E98"/>
    <mergeCell ref="K92:K93"/>
    <mergeCell ref="L92:L93"/>
    <mergeCell ref="M92:M93"/>
    <mergeCell ref="N92:N93"/>
    <mergeCell ref="O92:O93"/>
    <mergeCell ref="P92:Q93"/>
    <mergeCell ref="A91:A93"/>
    <mergeCell ref="B91:B93"/>
    <mergeCell ref="P91:Q91"/>
    <mergeCell ref="C111:C112"/>
    <mergeCell ref="D111:D112"/>
    <mergeCell ref="E111:E112"/>
    <mergeCell ref="F111:F112"/>
    <mergeCell ref="G111:G112"/>
    <mergeCell ref="H111:H112"/>
    <mergeCell ref="I111:I112"/>
    <mergeCell ref="N106:N107"/>
    <mergeCell ref="O106:O107"/>
    <mergeCell ref="P106:P107"/>
    <mergeCell ref="Q106:Q107"/>
    <mergeCell ref="R106:R107"/>
    <mergeCell ref="A109:B109"/>
    <mergeCell ref="G106:G107"/>
    <mergeCell ref="H106:H107"/>
    <mergeCell ref="I106:I107"/>
    <mergeCell ref="K106:K107"/>
    <mergeCell ref="L106:L107"/>
    <mergeCell ref="M106:M107"/>
    <mergeCell ref="A105:A107"/>
    <mergeCell ref="B105:B107"/>
    <mergeCell ref="C106:C107"/>
    <mergeCell ref="D106:D107"/>
    <mergeCell ref="E106:E107"/>
    <mergeCell ref="F106:F107"/>
    <mergeCell ref="M116:M117"/>
    <mergeCell ref="N116:N117"/>
    <mergeCell ref="O116:O117"/>
    <mergeCell ref="P116:R117"/>
    <mergeCell ref="P118:R118"/>
    <mergeCell ref="A119:B119"/>
    <mergeCell ref="P119:R119"/>
    <mergeCell ref="F116:F117"/>
    <mergeCell ref="G116:G117"/>
    <mergeCell ref="H116:H117"/>
    <mergeCell ref="I116:I117"/>
    <mergeCell ref="K116:K117"/>
    <mergeCell ref="L116:L117"/>
    <mergeCell ref="R111:R112"/>
    <mergeCell ref="P113:Q113"/>
    <mergeCell ref="A114:B114"/>
    <mergeCell ref="P114:Q114"/>
    <mergeCell ref="A115:A117"/>
    <mergeCell ref="B115:B117"/>
    <mergeCell ref="P115:R115"/>
    <mergeCell ref="C116:C117"/>
    <mergeCell ref="D116:D117"/>
    <mergeCell ref="E116:E117"/>
    <mergeCell ref="K111:K112"/>
    <mergeCell ref="L111:L112"/>
    <mergeCell ref="M111:M112"/>
    <mergeCell ref="N111:N112"/>
    <mergeCell ref="O111:O112"/>
    <mergeCell ref="P111:Q112"/>
    <mergeCell ref="A110:A112"/>
    <mergeCell ref="B110:B112"/>
    <mergeCell ref="P110:Q110"/>
    <mergeCell ref="C130:C131"/>
    <mergeCell ref="D130:D131"/>
    <mergeCell ref="E130:E131"/>
    <mergeCell ref="F130:F131"/>
    <mergeCell ref="G130:G131"/>
    <mergeCell ref="H130:H131"/>
    <mergeCell ref="I130:I131"/>
    <mergeCell ref="N125:N126"/>
    <mergeCell ref="O125:O126"/>
    <mergeCell ref="P125:P126"/>
    <mergeCell ref="Q125:Q126"/>
    <mergeCell ref="R125:R126"/>
    <mergeCell ref="A128:B128"/>
    <mergeCell ref="G125:G126"/>
    <mergeCell ref="H125:H126"/>
    <mergeCell ref="I125:I126"/>
    <mergeCell ref="K125:K126"/>
    <mergeCell ref="L125:L126"/>
    <mergeCell ref="M125:M126"/>
    <mergeCell ref="A124:A126"/>
    <mergeCell ref="B124:B126"/>
    <mergeCell ref="C125:C126"/>
    <mergeCell ref="D125:D126"/>
    <mergeCell ref="E125:E126"/>
    <mergeCell ref="F125:F126"/>
    <mergeCell ref="M135:M136"/>
    <mergeCell ref="N135:N136"/>
    <mergeCell ref="O135:O136"/>
    <mergeCell ref="P135:R136"/>
    <mergeCell ref="P137:R137"/>
    <mergeCell ref="A138:B138"/>
    <mergeCell ref="P138:R138"/>
    <mergeCell ref="F135:F136"/>
    <mergeCell ref="G135:G136"/>
    <mergeCell ref="H135:H136"/>
    <mergeCell ref="I135:I136"/>
    <mergeCell ref="K135:K136"/>
    <mergeCell ref="L135:L136"/>
    <mergeCell ref="R130:R131"/>
    <mergeCell ref="P132:Q132"/>
    <mergeCell ref="A133:B133"/>
    <mergeCell ref="P133:Q133"/>
    <mergeCell ref="A134:A136"/>
    <mergeCell ref="B134:B136"/>
    <mergeCell ref="P134:R134"/>
    <mergeCell ref="C135:C136"/>
    <mergeCell ref="D135:D136"/>
    <mergeCell ref="E135:E136"/>
    <mergeCell ref="K130:K131"/>
    <mergeCell ref="L130:L131"/>
    <mergeCell ref="M130:M131"/>
    <mergeCell ref="N130:N131"/>
    <mergeCell ref="O130:O131"/>
    <mergeCell ref="P130:Q131"/>
    <mergeCell ref="A129:A131"/>
    <mergeCell ref="B129:B131"/>
    <mergeCell ref="P129:Q129"/>
    <mergeCell ref="C149:C150"/>
    <mergeCell ref="D149:D150"/>
    <mergeCell ref="E149:E150"/>
    <mergeCell ref="F149:F150"/>
    <mergeCell ref="G149:G150"/>
    <mergeCell ref="H149:H150"/>
    <mergeCell ref="I149:I150"/>
    <mergeCell ref="N144:N145"/>
    <mergeCell ref="O144:O145"/>
    <mergeCell ref="P144:P145"/>
    <mergeCell ref="Q144:Q145"/>
    <mergeCell ref="R144:R145"/>
    <mergeCell ref="A147:B147"/>
    <mergeCell ref="G144:G145"/>
    <mergeCell ref="H144:H145"/>
    <mergeCell ref="I144:I145"/>
    <mergeCell ref="K144:K145"/>
    <mergeCell ref="L144:L145"/>
    <mergeCell ref="M144:M145"/>
    <mergeCell ref="A143:A145"/>
    <mergeCell ref="B143:B145"/>
    <mergeCell ref="C144:C145"/>
    <mergeCell ref="D144:D145"/>
    <mergeCell ref="E144:E145"/>
    <mergeCell ref="F144:F145"/>
    <mergeCell ref="M154:M155"/>
    <mergeCell ref="N154:N155"/>
    <mergeCell ref="O154:O155"/>
    <mergeCell ref="P154:R155"/>
    <mergeCell ref="P156:R156"/>
    <mergeCell ref="A157:B157"/>
    <mergeCell ref="P157:R157"/>
    <mergeCell ref="F154:F155"/>
    <mergeCell ref="G154:G155"/>
    <mergeCell ref="H154:H155"/>
    <mergeCell ref="I154:I155"/>
    <mergeCell ref="K154:K155"/>
    <mergeCell ref="L154:L155"/>
    <mergeCell ref="R149:R150"/>
    <mergeCell ref="P151:Q151"/>
    <mergeCell ref="A152:B152"/>
    <mergeCell ref="P152:Q152"/>
    <mergeCell ref="A153:A155"/>
    <mergeCell ref="B153:B155"/>
    <mergeCell ref="P153:R153"/>
    <mergeCell ref="C154:C155"/>
    <mergeCell ref="D154:D155"/>
    <mergeCell ref="E154:E155"/>
    <mergeCell ref="K149:K150"/>
    <mergeCell ref="L149:L150"/>
    <mergeCell ref="M149:M150"/>
    <mergeCell ref="N149:N150"/>
    <mergeCell ref="O149:O150"/>
    <mergeCell ref="P149:Q150"/>
    <mergeCell ref="A148:A150"/>
    <mergeCell ref="B148:B150"/>
    <mergeCell ref="P148:Q148"/>
    <mergeCell ref="P161:R161"/>
    <mergeCell ref="A162:B162"/>
    <mergeCell ref="P162:R162"/>
    <mergeCell ref="A167:A169"/>
    <mergeCell ref="B167:B169"/>
    <mergeCell ref="C168:C169"/>
    <mergeCell ref="D168:D169"/>
    <mergeCell ref="E168:E169"/>
    <mergeCell ref="F168:F169"/>
    <mergeCell ref="G168:G169"/>
    <mergeCell ref="K159:K160"/>
    <mergeCell ref="L159:L160"/>
    <mergeCell ref="M159:M160"/>
    <mergeCell ref="N159:N160"/>
    <mergeCell ref="O159:O160"/>
    <mergeCell ref="P159:R160"/>
    <mergeCell ref="A158:A160"/>
    <mergeCell ref="B158:B160"/>
    <mergeCell ref="P158:R158"/>
    <mergeCell ref="C159:C160"/>
    <mergeCell ref="D159:D160"/>
    <mergeCell ref="E159:E160"/>
    <mergeCell ref="F159:F160"/>
    <mergeCell ref="G159:G160"/>
    <mergeCell ref="H159:H160"/>
    <mergeCell ref="I159:I160"/>
    <mergeCell ref="O173:O174"/>
    <mergeCell ref="P173:Q174"/>
    <mergeCell ref="R173:R174"/>
    <mergeCell ref="E173:E174"/>
    <mergeCell ref="F173:F174"/>
    <mergeCell ref="G173:G174"/>
    <mergeCell ref="H173:H174"/>
    <mergeCell ref="I173:I174"/>
    <mergeCell ref="K173:K174"/>
    <mergeCell ref="O168:O169"/>
    <mergeCell ref="P168:P169"/>
    <mergeCell ref="Q168:Q169"/>
    <mergeCell ref="R168:R169"/>
    <mergeCell ref="A171:B171"/>
    <mergeCell ref="A172:A174"/>
    <mergeCell ref="B172:B174"/>
    <mergeCell ref="P172:Q172"/>
    <mergeCell ref="C173:C174"/>
    <mergeCell ref="D173:D174"/>
    <mergeCell ref="H168:H169"/>
    <mergeCell ref="I168:I169"/>
    <mergeCell ref="K168:K169"/>
    <mergeCell ref="L168:L169"/>
    <mergeCell ref="M168:M169"/>
    <mergeCell ref="N168:N169"/>
    <mergeCell ref="T44:T45"/>
    <mergeCell ref="U44:U45"/>
    <mergeCell ref="P46:Q46"/>
    <mergeCell ref="R46:S46"/>
    <mergeCell ref="P47:Q47"/>
    <mergeCell ref="R47:T47"/>
    <mergeCell ref="N178:N179"/>
    <mergeCell ref="O178:O179"/>
    <mergeCell ref="P178:R179"/>
    <mergeCell ref="P180:R180"/>
    <mergeCell ref="A181:B181"/>
    <mergeCell ref="P181:R181"/>
    <mergeCell ref="G178:G179"/>
    <mergeCell ref="H178:H179"/>
    <mergeCell ref="I178:I179"/>
    <mergeCell ref="K178:K179"/>
    <mergeCell ref="L178:L179"/>
    <mergeCell ref="M178:M179"/>
    <mergeCell ref="P175:Q175"/>
    <mergeCell ref="A176:B176"/>
    <mergeCell ref="P176:Q176"/>
    <mergeCell ref="A177:A179"/>
    <mergeCell ref="B177:B179"/>
    <mergeCell ref="P177:R177"/>
    <mergeCell ref="C178:C179"/>
    <mergeCell ref="D178:D179"/>
    <mergeCell ref="E178:E179"/>
    <mergeCell ref="F178:F179"/>
    <mergeCell ref="L173:L174"/>
    <mergeCell ref="M173:M174"/>
    <mergeCell ref="N173:N174"/>
    <mergeCell ref="F64:F65"/>
    <mergeCell ref="S54:S55"/>
    <mergeCell ref="T54:T55"/>
    <mergeCell ref="U54:U55"/>
    <mergeCell ref="A57:B57"/>
    <mergeCell ref="A63:A65"/>
    <mergeCell ref="B63:B65"/>
    <mergeCell ref="C64:C65"/>
    <mergeCell ref="D64:D65"/>
    <mergeCell ref="E64:E65"/>
    <mergeCell ref="P48:T48"/>
    <mergeCell ref="P49:T50"/>
    <mergeCell ref="U49:U50"/>
    <mergeCell ref="P51:T51"/>
    <mergeCell ref="A52:B52"/>
    <mergeCell ref="Q52:R52"/>
    <mergeCell ref="R54:R55"/>
    <mergeCell ref="C49:C50"/>
    <mergeCell ref="K49:K50"/>
    <mergeCell ref="L49:L50"/>
    <mergeCell ref="M49:M50"/>
    <mergeCell ref="N49:N50"/>
    <mergeCell ref="O49:O50"/>
    <mergeCell ref="A48:A50"/>
    <mergeCell ref="B48:B50"/>
    <mergeCell ref="D49:D50"/>
    <mergeCell ref="E49:E50"/>
    <mergeCell ref="F49:F50"/>
    <mergeCell ref="G49:G50"/>
    <mergeCell ref="H49:H50"/>
    <mergeCell ref="I49:I50"/>
    <mergeCell ref="G382:G383"/>
    <mergeCell ref="K353:K354"/>
    <mergeCell ref="L353:L354"/>
    <mergeCell ref="M353:M354"/>
    <mergeCell ref="F343:F344"/>
    <mergeCell ref="G343:G344"/>
    <mergeCell ref="H343:H344"/>
    <mergeCell ref="I343:I344"/>
    <mergeCell ref="G281:G282"/>
    <mergeCell ref="L269:M269"/>
    <mergeCell ref="L270:M271"/>
    <mergeCell ref="N270:N271"/>
    <mergeCell ref="O270:O271"/>
    <mergeCell ref="A263:B263"/>
    <mergeCell ref="K263:L263"/>
    <mergeCell ref="O261:O262"/>
    <mergeCell ref="P261:P262"/>
    <mergeCell ref="H261:H262"/>
    <mergeCell ref="I261:I262"/>
    <mergeCell ref="J261:J262"/>
    <mergeCell ref="N261:N262"/>
    <mergeCell ref="D261:D262"/>
    <mergeCell ref="E261:E262"/>
    <mergeCell ref="F261:F262"/>
    <mergeCell ref="G261:G262"/>
    <mergeCell ref="O265:O266"/>
    <mergeCell ref="P265:P266"/>
    <mergeCell ref="D281:D282"/>
    <mergeCell ref="E281:E282"/>
    <mergeCell ref="F281:F282"/>
    <mergeCell ref="P270:P271"/>
    <mergeCell ref="N286:N287"/>
    <mergeCell ref="F525:F526"/>
    <mergeCell ref="G525:G526"/>
    <mergeCell ref="H525:H526"/>
    <mergeCell ref="I525:I526"/>
    <mergeCell ref="A449:B449"/>
    <mergeCell ref="P449:Q449"/>
    <mergeCell ref="A450:A452"/>
    <mergeCell ref="N447:N448"/>
    <mergeCell ref="O447:O448"/>
    <mergeCell ref="F447:F448"/>
    <mergeCell ref="G447:G448"/>
    <mergeCell ref="H447:H448"/>
    <mergeCell ref="I447:I448"/>
    <mergeCell ref="J447:J448"/>
    <mergeCell ref="M447:M448"/>
    <mergeCell ref="D447:D448"/>
    <mergeCell ref="E447:E448"/>
    <mergeCell ref="M451:M452"/>
    <mergeCell ref="N451:N452"/>
    <mergeCell ref="O451:O452"/>
    <mergeCell ref="P451:R452"/>
    <mergeCell ref="P453:R453"/>
    <mergeCell ref="A454:B454"/>
    <mergeCell ref="P454:R454"/>
    <mergeCell ref="B450:B452"/>
    <mergeCell ref="P450:R450"/>
    <mergeCell ref="C451:C452"/>
    <mergeCell ref="D451:D452"/>
    <mergeCell ref="E451:E452"/>
    <mergeCell ref="F451:F452"/>
    <mergeCell ref="G451:G452"/>
    <mergeCell ref="H451:H452"/>
    <mergeCell ref="P197:Q197"/>
    <mergeCell ref="C198:C199"/>
    <mergeCell ref="D198:D199"/>
    <mergeCell ref="E198:E199"/>
    <mergeCell ref="F198:F199"/>
    <mergeCell ref="G198:G199"/>
    <mergeCell ref="H198:H199"/>
    <mergeCell ref="I198:I199"/>
    <mergeCell ref="L198:L199"/>
    <mergeCell ref="M198:M199"/>
    <mergeCell ref="N193:N194"/>
    <mergeCell ref="O193:O194"/>
    <mergeCell ref="P193:P194"/>
    <mergeCell ref="Q193:Q194"/>
    <mergeCell ref="R193:R194"/>
    <mergeCell ref="A196:B196"/>
    <mergeCell ref="F193:F194"/>
    <mergeCell ref="G193:G194"/>
    <mergeCell ref="H193:H194"/>
    <mergeCell ref="I193:I194"/>
    <mergeCell ref="L193:L194"/>
    <mergeCell ref="M193:M194"/>
    <mergeCell ref="A192:A194"/>
    <mergeCell ref="B192:B194"/>
    <mergeCell ref="C193:C194"/>
    <mergeCell ref="D193:D194"/>
    <mergeCell ref="E193:E194"/>
    <mergeCell ref="A197:A199"/>
    <mergeCell ref="B197:B199"/>
    <mergeCell ref="M203:M204"/>
    <mergeCell ref="N203:N204"/>
    <mergeCell ref="O203:O204"/>
    <mergeCell ref="P203:R204"/>
    <mergeCell ref="P205:R205"/>
    <mergeCell ref="A206:B206"/>
    <mergeCell ref="P206:R206"/>
    <mergeCell ref="E203:E204"/>
    <mergeCell ref="F203:F204"/>
    <mergeCell ref="G203:G204"/>
    <mergeCell ref="H203:H204"/>
    <mergeCell ref="I203:I204"/>
    <mergeCell ref="L203:L204"/>
    <mergeCell ref="N198:N199"/>
    <mergeCell ref="O198:O199"/>
    <mergeCell ref="P198:Q199"/>
    <mergeCell ref="R198:R199"/>
    <mergeCell ref="P200:Q200"/>
    <mergeCell ref="A201:B201"/>
    <mergeCell ref="P201:Q201"/>
    <mergeCell ref="A202:A204"/>
    <mergeCell ref="B202:B204"/>
    <mergeCell ref="P202:R202"/>
    <mergeCell ref="C203:C204"/>
    <mergeCell ref="D203:D204"/>
    <mergeCell ref="O212:O213"/>
    <mergeCell ref="P212:P213"/>
    <mergeCell ref="Q212:Q213"/>
    <mergeCell ref="R212:R213"/>
    <mergeCell ref="A215:B215"/>
    <mergeCell ref="A216:A218"/>
    <mergeCell ref="B216:B218"/>
    <mergeCell ref="P216:Q216"/>
    <mergeCell ref="C217:C218"/>
    <mergeCell ref="D217:D218"/>
    <mergeCell ref="G212:G213"/>
    <mergeCell ref="H212:H213"/>
    <mergeCell ref="I212:I213"/>
    <mergeCell ref="L212:L213"/>
    <mergeCell ref="M212:M213"/>
    <mergeCell ref="N212:N213"/>
    <mergeCell ref="A211:A213"/>
    <mergeCell ref="B211:B213"/>
    <mergeCell ref="C212:C213"/>
    <mergeCell ref="D212:D213"/>
    <mergeCell ref="E212:E213"/>
    <mergeCell ref="F212:F213"/>
    <mergeCell ref="N222:N223"/>
    <mergeCell ref="O222:O223"/>
    <mergeCell ref="P222:R223"/>
    <mergeCell ref="P224:R224"/>
    <mergeCell ref="A225:B225"/>
    <mergeCell ref="P225:R225"/>
    <mergeCell ref="P221:R221"/>
    <mergeCell ref="C222:C223"/>
    <mergeCell ref="D222:D223"/>
    <mergeCell ref="E222:E223"/>
    <mergeCell ref="F222:F223"/>
    <mergeCell ref="G222:G223"/>
    <mergeCell ref="H222:H223"/>
    <mergeCell ref="I222:I223"/>
    <mergeCell ref="L222:L223"/>
    <mergeCell ref="M222:M223"/>
    <mergeCell ref="M217:M218"/>
    <mergeCell ref="N217:N218"/>
    <mergeCell ref="O217:O218"/>
    <mergeCell ref="P217:Q218"/>
    <mergeCell ref="R217:R218"/>
    <mergeCell ref="P219:Q219"/>
    <mergeCell ref="E217:E218"/>
    <mergeCell ref="F217:F218"/>
    <mergeCell ref="G217:G218"/>
    <mergeCell ref="H217:H218"/>
    <mergeCell ref="I217:I218"/>
    <mergeCell ref="L217:L218"/>
    <mergeCell ref="A220:B220"/>
    <mergeCell ref="P220:Q220"/>
    <mergeCell ref="A221:A223"/>
    <mergeCell ref="B221:B223"/>
    <mergeCell ref="O232:O233"/>
    <mergeCell ref="P232:P233"/>
    <mergeCell ref="Q232:Q233"/>
    <mergeCell ref="R232:R233"/>
    <mergeCell ref="A235:B235"/>
    <mergeCell ref="A236:A238"/>
    <mergeCell ref="B236:B238"/>
    <mergeCell ref="P236:Q236"/>
    <mergeCell ref="C237:C238"/>
    <mergeCell ref="D237:D238"/>
    <mergeCell ref="G232:G233"/>
    <mergeCell ref="H232:H233"/>
    <mergeCell ref="I232:I233"/>
    <mergeCell ref="L232:L233"/>
    <mergeCell ref="M232:M233"/>
    <mergeCell ref="N232:N233"/>
    <mergeCell ref="A231:A233"/>
    <mergeCell ref="B231:B233"/>
    <mergeCell ref="C232:C233"/>
    <mergeCell ref="D232:D233"/>
    <mergeCell ref="E232:E233"/>
    <mergeCell ref="F232:F233"/>
    <mergeCell ref="N242:N243"/>
    <mergeCell ref="O242:O243"/>
    <mergeCell ref="P242:R243"/>
    <mergeCell ref="P244:R244"/>
    <mergeCell ref="A245:B245"/>
    <mergeCell ref="P245:R245"/>
    <mergeCell ref="P241:R241"/>
    <mergeCell ref="C242:C243"/>
    <mergeCell ref="D242:D243"/>
    <mergeCell ref="E242:E243"/>
    <mergeCell ref="F242:F243"/>
    <mergeCell ref="G242:G243"/>
    <mergeCell ref="H242:H243"/>
    <mergeCell ref="I242:I243"/>
    <mergeCell ref="L242:L243"/>
    <mergeCell ref="M242:M243"/>
    <mergeCell ref="M237:M238"/>
    <mergeCell ref="N237:N238"/>
    <mergeCell ref="O237:O238"/>
    <mergeCell ref="P237:Q238"/>
    <mergeCell ref="R237:R238"/>
    <mergeCell ref="P239:Q239"/>
    <mergeCell ref="E237:E238"/>
    <mergeCell ref="F237:F238"/>
    <mergeCell ref="G237:G238"/>
    <mergeCell ref="H237:H238"/>
    <mergeCell ref="I237:I238"/>
    <mergeCell ref="L237:L238"/>
    <mergeCell ref="A240:B240"/>
    <mergeCell ref="P240:Q240"/>
    <mergeCell ref="A241:A243"/>
    <mergeCell ref="B241:B243"/>
    <mergeCell ref="Q254:Q255"/>
    <mergeCell ref="R254:R255"/>
    <mergeCell ref="S254:S255"/>
    <mergeCell ref="K256:L256"/>
    <mergeCell ref="A257:B257"/>
    <mergeCell ref="K257:L257"/>
    <mergeCell ref="K254:L254"/>
    <mergeCell ref="K255:L255"/>
    <mergeCell ref="M254:M255"/>
    <mergeCell ref="N254:N255"/>
    <mergeCell ref="O254:O255"/>
    <mergeCell ref="P254:P255"/>
    <mergeCell ref="A253:A255"/>
    <mergeCell ref="B253:B255"/>
    <mergeCell ref="K253:L253"/>
    <mergeCell ref="C254:C255"/>
    <mergeCell ref="D254:D255"/>
    <mergeCell ref="E254:E255"/>
    <mergeCell ref="F254:F255"/>
    <mergeCell ref="G254:G255"/>
    <mergeCell ref="H254:H255"/>
    <mergeCell ref="I254:I255"/>
    <mergeCell ref="P259:P260"/>
    <mergeCell ref="Q259:R260"/>
    <mergeCell ref="S259:S260"/>
    <mergeCell ref="B261:B262"/>
    <mergeCell ref="C261:C262"/>
    <mergeCell ref="K261:L262"/>
    <mergeCell ref="M261:M262"/>
    <mergeCell ref="Q261:R262"/>
    <mergeCell ref="S261:S262"/>
    <mergeCell ref="I259:I260"/>
    <mergeCell ref="K259:L259"/>
    <mergeCell ref="K260:L260"/>
    <mergeCell ref="M259:M260"/>
    <mergeCell ref="N259:N260"/>
    <mergeCell ref="O259:O260"/>
    <mergeCell ref="A258:A260"/>
    <mergeCell ref="B258:B260"/>
    <mergeCell ref="K258:L258"/>
    <mergeCell ref="Q258:R258"/>
    <mergeCell ref="C259:C260"/>
    <mergeCell ref="D259:D260"/>
    <mergeCell ref="E259:E260"/>
    <mergeCell ref="F259:F260"/>
    <mergeCell ref="G259:G260"/>
    <mergeCell ref="H259:H260"/>
    <mergeCell ref="Q265:S266"/>
    <mergeCell ref="K267:L267"/>
    <mergeCell ref="Q267:S267"/>
    <mergeCell ref="A268:B268"/>
    <mergeCell ref="K268:L268"/>
    <mergeCell ref="Q268:S268"/>
    <mergeCell ref="H265:H266"/>
    <mergeCell ref="I265:I266"/>
    <mergeCell ref="K265:L265"/>
    <mergeCell ref="K266:L266"/>
    <mergeCell ref="M265:M266"/>
    <mergeCell ref="N265:N266"/>
    <mergeCell ref="Q263:R263"/>
    <mergeCell ref="A264:A266"/>
    <mergeCell ref="B264:B266"/>
    <mergeCell ref="K264:L264"/>
    <mergeCell ref="Q264:S264"/>
    <mergeCell ref="C265:C266"/>
    <mergeCell ref="D265:D266"/>
    <mergeCell ref="E265:E266"/>
    <mergeCell ref="F265:F266"/>
    <mergeCell ref="G265:G266"/>
    <mergeCell ref="Q270:R271"/>
    <mergeCell ref="S270:S271"/>
    <mergeCell ref="L272:M272"/>
    <mergeCell ref="Q272:R272"/>
    <mergeCell ref="A273:B273"/>
    <mergeCell ref="L273:M273"/>
    <mergeCell ref="Q273:R273"/>
    <mergeCell ref="A269:A271"/>
    <mergeCell ref="B269:B271"/>
    <mergeCell ref="Q269:R269"/>
    <mergeCell ref="C270:C271"/>
    <mergeCell ref="D270:D271"/>
    <mergeCell ref="E270:E271"/>
    <mergeCell ref="F270:F271"/>
    <mergeCell ref="G270:G271"/>
    <mergeCell ref="H270:H271"/>
    <mergeCell ref="I270:I271"/>
    <mergeCell ref="O286:O287"/>
    <mergeCell ref="P286:Q287"/>
    <mergeCell ref="R286:R287"/>
    <mergeCell ref="P288:Q288"/>
    <mergeCell ref="A289:B289"/>
    <mergeCell ref="P289:Q289"/>
    <mergeCell ref="F286:F287"/>
    <mergeCell ref="G286:G287"/>
    <mergeCell ref="H286:H287"/>
    <mergeCell ref="I286:I287"/>
    <mergeCell ref="L286:L287"/>
    <mergeCell ref="M286:M287"/>
    <mergeCell ref="P281:P282"/>
    <mergeCell ref="Q281:Q282"/>
    <mergeCell ref="R281:R282"/>
    <mergeCell ref="A284:B284"/>
    <mergeCell ref="A285:A287"/>
    <mergeCell ref="B285:B287"/>
    <mergeCell ref="P285:Q285"/>
    <mergeCell ref="C286:C287"/>
    <mergeCell ref="D286:D287"/>
    <mergeCell ref="E286:E287"/>
    <mergeCell ref="H281:H282"/>
    <mergeCell ref="I281:I282"/>
    <mergeCell ref="L281:L282"/>
    <mergeCell ref="M281:M282"/>
    <mergeCell ref="N281:N282"/>
    <mergeCell ref="O281:O282"/>
    <mergeCell ref="A280:A282"/>
    <mergeCell ref="B280:B282"/>
    <mergeCell ref="C281:C282"/>
    <mergeCell ref="A294:B294"/>
    <mergeCell ref="P294:R294"/>
    <mergeCell ref="A298:A300"/>
    <mergeCell ref="B298:B300"/>
    <mergeCell ref="C299:C300"/>
    <mergeCell ref="D299:D300"/>
    <mergeCell ref="E299:E300"/>
    <mergeCell ref="F299:F300"/>
    <mergeCell ref="G299:G300"/>
    <mergeCell ref="H299:H300"/>
    <mergeCell ref="L291:L292"/>
    <mergeCell ref="M291:M292"/>
    <mergeCell ref="N291:N292"/>
    <mergeCell ref="O291:O292"/>
    <mergeCell ref="P291:R292"/>
    <mergeCell ref="P293:R293"/>
    <mergeCell ref="A290:A292"/>
    <mergeCell ref="B290:B292"/>
    <mergeCell ref="P290:R290"/>
    <mergeCell ref="C291:C292"/>
    <mergeCell ref="D291:D292"/>
    <mergeCell ref="E291:E292"/>
    <mergeCell ref="F291:F292"/>
    <mergeCell ref="G291:G292"/>
    <mergeCell ref="H291:H292"/>
    <mergeCell ref="I291:I292"/>
    <mergeCell ref="O304:O305"/>
    <mergeCell ref="P304:Q305"/>
    <mergeCell ref="R304:R305"/>
    <mergeCell ref="P306:Q306"/>
    <mergeCell ref="A307:B307"/>
    <mergeCell ref="P307:Q307"/>
    <mergeCell ref="G304:G305"/>
    <mergeCell ref="H304:H305"/>
    <mergeCell ref="I304:I305"/>
    <mergeCell ref="L304:L305"/>
    <mergeCell ref="M304:M305"/>
    <mergeCell ref="N304:N305"/>
    <mergeCell ref="Q299:Q300"/>
    <mergeCell ref="R299:R300"/>
    <mergeCell ref="A302:B302"/>
    <mergeCell ref="A303:A305"/>
    <mergeCell ref="B303:B305"/>
    <mergeCell ref="P303:Q303"/>
    <mergeCell ref="C304:C305"/>
    <mergeCell ref="D304:D305"/>
    <mergeCell ref="E304:E305"/>
    <mergeCell ref="F304:F305"/>
    <mergeCell ref="I299:I300"/>
    <mergeCell ref="L299:L300"/>
    <mergeCell ref="M299:M300"/>
    <mergeCell ref="N299:N300"/>
    <mergeCell ref="O299:O300"/>
    <mergeCell ref="P299:P300"/>
    <mergeCell ref="A312:B312"/>
    <mergeCell ref="P312:R312"/>
    <mergeCell ref="A316:A318"/>
    <mergeCell ref="B316:B318"/>
    <mergeCell ref="C317:C318"/>
    <mergeCell ref="D317:D318"/>
    <mergeCell ref="E317:E318"/>
    <mergeCell ref="F317:F318"/>
    <mergeCell ref="G317:G318"/>
    <mergeCell ref="H317:H318"/>
    <mergeCell ref="L309:L310"/>
    <mergeCell ref="M309:M310"/>
    <mergeCell ref="N309:N310"/>
    <mergeCell ref="O309:O310"/>
    <mergeCell ref="P309:R310"/>
    <mergeCell ref="P311:R311"/>
    <mergeCell ref="A308:A310"/>
    <mergeCell ref="B308:B310"/>
    <mergeCell ref="P308:R308"/>
    <mergeCell ref="C309:C310"/>
    <mergeCell ref="D309:D310"/>
    <mergeCell ref="E309:E310"/>
    <mergeCell ref="F309:F310"/>
    <mergeCell ref="G309:G310"/>
    <mergeCell ref="H309:H310"/>
    <mergeCell ref="I309:I310"/>
    <mergeCell ref="O322:O323"/>
    <mergeCell ref="P322:Q323"/>
    <mergeCell ref="R322:R323"/>
    <mergeCell ref="P324:Q324"/>
    <mergeCell ref="A325:B325"/>
    <mergeCell ref="P325:Q325"/>
    <mergeCell ref="G322:G323"/>
    <mergeCell ref="H322:H323"/>
    <mergeCell ref="I322:I323"/>
    <mergeCell ref="L322:L323"/>
    <mergeCell ref="M322:M323"/>
    <mergeCell ref="N322:N323"/>
    <mergeCell ref="Q317:Q318"/>
    <mergeCell ref="R317:R318"/>
    <mergeCell ref="A320:B320"/>
    <mergeCell ref="A321:A323"/>
    <mergeCell ref="B321:B323"/>
    <mergeCell ref="P321:Q321"/>
    <mergeCell ref="C322:C323"/>
    <mergeCell ref="D322:D323"/>
    <mergeCell ref="E322:E323"/>
    <mergeCell ref="F322:F323"/>
    <mergeCell ref="I317:I318"/>
    <mergeCell ref="L317:L318"/>
    <mergeCell ref="M317:M318"/>
    <mergeCell ref="N317:N318"/>
    <mergeCell ref="O317:O318"/>
    <mergeCell ref="P317:P318"/>
    <mergeCell ref="A330:B330"/>
    <mergeCell ref="P330:R330"/>
    <mergeCell ref="A337:A339"/>
    <mergeCell ref="B337:B339"/>
    <mergeCell ref="C338:C339"/>
    <mergeCell ref="D338:D339"/>
    <mergeCell ref="E338:E339"/>
    <mergeCell ref="F338:F339"/>
    <mergeCell ref="G338:G339"/>
    <mergeCell ref="H338:H339"/>
    <mergeCell ref="L327:L328"/>
    <mergeCell ref="M327:M328"/>
    <mergeCell ref="N327:N328"/>
    <mergeCell ref="O327:O328"/>
    <mergeCell ref="P327:R328"/>
    <mergeCell ref="P329:R329"/>
    <mergeCell ref="A326:A328"/>
    <mergeCell ref="B326:B328"/>
    <mergeCell ref="P326:R326"/>
    <mergeCell ref="C327:C328"/>
    <mergeCell ref="D327:D328"/>
    <mergeCell ref="E327:E328"/>
    <mergeCell ref="F327:F328"/>
    <mergeCell ref="G327:G328"/>
    <mergeCell ref="H327:H328"/>
    <mergeCell ref="I327:I328"/>
    <mergeCell ref="R343:R344"/>
    <mergeCell ref="P345:Q345"/>
    <mergeCell ref="A346:B346"/>
    <mergeCell ref="P346:Q346"/>
    <mergeCell ref="A347:A349"/>
    <mergeCell ref="B347:B349"/>
    <mergeCell ref="P347:R347"/>
    <mergeCell ref="C348:C349"/>
    <mergeCell ref="D348:D349"/>
    <mergeCell ref="E348:E349"/>
    <mergeCell ref="K343:K344"/>
    <mergeCell ref="L343:L344"/>
    <mergeCell ref="M343:M344"/>
    <mergeCell ref="N343:N344"/>
    <mergeCell ref="O343:O344"/>
    <mergeCell ref="P343:Q344"/>
    <mergeCell ref="P338:P339"/>
    <mergeCell ref="Q338:Q339"/>
    <mergeCell ref="R338:R339"/>
    <mergeCell ref="A341:B341"/>
    <mergeCell ref="A342:A344"/>
    <mergeCell ref="B342:B344"/>
    <mergeCell ref="P342:Q342"/>
    <mergeCell ref="C343:C344"/>
    <mergeCell ref="D343:D344"/>
    <mergeCell ref="E343:E344"/>
    <mergeCell ref="I338:I339"/>
    <mergeCell ref="K338:K339"/>
    <mergeCell ref="L338:L339"/>
    <mergeCell ref="M338:M339"/>
    <mergeCell ref="N338:N339"/>
    <mergeCell ref="O338:O339"/>
    <mergeCell ref="N353:N354"/>
    <mergeCell ref="O353:O354"/>
    <mergeCell ref="P353:R354"/>
    <mergeCell ref="P355:R355"/>
    <mergeCell ref="A356:B356"/>
    <mergeCell ref="P356:R356"/>
    <mergeCell ref="A352:A354"/>
    <mergeCell ref="B352:B354"/>
    <mergeCell ref="P352:R352"/>
    <mergeCell ref="C353:C354"/>
    <mergeCell ref="D353:D354"/>
    <mergeCell ref="E353:E354"/>
    <mergeCell ref="F353:F354"/>
    <mergeCell ref="G353:G354"/>
    <mergeCell ref="H353:H354"/>
    <mergeCell ref="I353:I354"/>
    <mergeCell ref="M348:M349"/>
    <mergeCell ref="N348:N349"/>
    <mergeCell ref="O348:O349"/>
    <mergeCell ref="P348:R349"/>
    <mergeCell ref="P350:R350"/>
    <mergeCell ref="A351:B351"/>
    <mergeCell ref="P351:R351"/>
    <mergeCell ref="F348:F349"/>
    <mergeCell ref="G348:G349"/>
    <mergeCell ref="H348:H349"/>
    <mergeCell ref="I348:I349"/>
    <mergeCell ref="K348:K349"/>
    <mergeCell ref="L348:L349"/>
    <mergeCell ref="A364:A366"/>
    <mergeCell ref="B364:B366"/>
    <mergeCell ref="P364:Q364"/>
    <mergeCell ref="C365:C366"/>
    <mergeCell ref="D365:D366"/>
    <mergeCell ref="E365:E366"/>
    <mergeCell ref="F365:F366"/>
    <mergeCell ref="G365:G366"/>
    <mergeCell ref="H365:H366"/>
    <mergeCell ref="I365:I366"/>
    <mergeCell ref="N360:N361"/>
    <mergeCell ref="O360:O361"/>
    <mergeCell ref="P360:P361"/>
    <mergeCell ref="Q360:Q361"/>
    <mergeCell ref="R360:R361"/>
    <mergeCell ref="A363:B363"/>
    <mergeCell ref="G360:G361"/>
    <mergeCell ref="H360:H361"/>
    <mergeCell ref="I360:I361"/>
    <mergeCell ref="K360:K361"/>
    <mergeCell ref="L360:L361"/>
    <mergeCell ref="M360:M361"/>
    <mergeCell ref="A359:A361"/>
    <mergeCell ref="B359:B361"/>
    <mergeCell ref="C360:C361"/>
    <mergeCell ref="D360:D361"/>
    <mergeCell ref="E360:E361"/>
    <mergeCell ref="F360:F361"/>
    <mergeCell ref="D382:D383"/>
    <mergeCell ref="E382:E383"/>
    <mergeCell ref="F382:F383"/>
    <mergeCell ref="M370:M371"/>
    <mergeCell ref="N370:N371"/>
    <mergeCell ref="O370:O371"/>
    <mergeCell ref="P370:R371"/>
    <mergeCell ref="P372:R372"/>
    <mergeCell ref="A373:B373"/>
    <mergeCell ref="P373:R373"/>
    <mergeCell ref="F370:F371"/>
    <mergeCell ref="G370:G371"/>
    <mergeCell ref="H370:H371"/>
    <mergeCell ref="I370:I371"/>
    <mergeCell ref="K370:K371"/>
    <mergeCell ref="L370:L371"/>
    <mergeCell ref="R365:R366"/>
    <mergeCell ref="P367:Q367"/>
    <mergeCell ref="A368:B368"/>
    <mergeCell ref="P368:Q368"/>
    <mergeCell ref="A369:A371"/>
    <mergeCell ref="B369:B371"/>
    <mergeCell ref="P369:R369"/>
    <mergeCell ref="C370:C371"/>
    <mergeCell ref="D370:D371"/>
    <mergeCell ref="E370:E371"/>
    <mergeCell ref="K365:K366"/>
    <mergeCell ref="L365:L366"/>
    <mergeCell ref="M365:M366"/>
    <mergeCell ref="N365:N366"/>
    <mergeCell ref="O365:O366"/>
    <mergeCell ref="P365:Q366"/>
    <mergeCell ref="N387:N388"/>
    <mergeCell ref="O387:O388"/>
    <mergeCell ref="P387:Q388"/>
    <mergeCell ref="R387:R388"/>
    <mergeCell ref="P389:Q389"/>
    <mergeCell ref="A390:B390"/>
    <mergeCell ref="P390:Q390"/>
    <mergeCell ref="F387:F388"/>
    <mergeCell ref="G387:G388"/>
    <mergeCell ref="H387:H388"/>
    <mergeCell ref="I387:I388"/>
    <mergeCell ref="L387:L388"/>
    <mergeCell ref="M387:M388"/>
    <mergeCell ref="P382:P383"/>
    <mergeCell ref="Q382:Q383"/>
    <mergeCell ref="R382:R383"/>
    <mergeCell ref="A385:B385"/>
    <mergeCell ref="A386:A388"/>
    <mergeCell ref="B386:B388"/>
    <mergeCell ref="P386:Q386"/>
    <mergeCell ref="C387:C388"/>
    <mergeCell ref="D387:D388"/>
    <mergeCell ref="E387:E388"/>
    <mergeCell ref="H382:H383"/>
    <mergeCell ref="I382:I383"/>
    <mergeCell ref="L382:L383"/>
    <mergeCell ref="M382:M383"/>
    <mergeCell ref="N382:N383"/>
    <mergeCell ref="O382:O383"/>
    <mergeCell ref="A381:A383"/>
    <mergeCell ref="B381:B383"/>
    <mergeCell ref="C382:C383"/>
    <mergeCell ref="A395:B395"/>
    <mergeCell ref="P395:R395"/>
    <mergeCell ref="A399:A401"/>
    <mergeCell ref="B399:B401"/>
    <mergeCell ref="C400:C401"/>
    <mergeCell ref="D400:D401"/>
    <mergeCell ref="E400:E401"/>
    <mergeCell ref="F400:F401"/>
    <mergeCell ref="G400:G401"/>
    <mergeCell ref="H400:H401"/>
    <mergeCell ref="L392:L393"/>
    <mergeCell ref="M392:M393"/>
    <mergeCell ref="N392:N393"/>
    <mergeCell ref="O392:O393"/>
    <mergeCell ref="P392:R393"/>
    <mergeCell ref="P394:R394"/>
    <mergeCell ref="A391:A393"/>
    <mergeCell ref="B391:B393"/>
    <mergeCell ref="P391:R391"/>
    <mergeCell ref="C392:C393"/>
    <mergeCell ref="D392:D393"/>
    <mergeCell ref="E392:E393"/>
    <mergeCell ref="F392:F393"/>
    <mergeCell ref="G392:G393"/>
    <mergeCell ref="H392:H393"/>
    <mergeCell ref="I392:I393"/>
    <mergeCell ref="O405:O406"/>
    <mergeCell ref="P405:Q406"/>
    <mergeCell ref="R405:R406"/>
    <mergeCell ref="P407:Q407"/>
    <mergeCell ref="A408:B408"/>
    <mergeCell ref="P408:Q408"/>
    <mergeCell ref="G405:G406"/>
    <mergeCell ref="H405:H406"/>
    <mergeCell ref="I405:I406"/>
    <mergeCell ref="L405:L406"/>
    <mergeCell ref="M405:M406"/>
    <mergeCell ref="N405:N406"/>
    <mergeCell ref="Q400:Q401"/>
    <mergeCell ref="R400:R401"/>
    <mergeCell ref="A403:B403"/>
    <mergeCell ref="A404:A406"/>
    <mergeCell ref="B404:B406"/>
    <mergeCell ref="P404:Q404"/>
    <mergeCell ref="C405:C406"/>
    <mergeCell ref="D405:D406"/>
    <mergeCell ref="E405:E406"/>
    <mergeCell ref="F405:F406"/>
    <mergeCell ref="I400:I401"/>
    <mergeCell ref="L400:L401"/>
    <mergeCell ref="M400:M401"/>
    <mergeCell ref="N400:N401"/>
    <mergeCell ref="O400:O401"/>
    <mergeCell ref="P400:P401"/>
    <mergeCell ref="A413:B413"/>
    <mergeCell ref="P413:R413"/>
    <mergeCell ref="A419:A421"/>
    <mergeCell ref="B419:B421"/>
    <mergeCell ref="C420:C421"/>
    <mergeCell ref="D420:D421"/>
    <mergeCell ref="E420:E421"/>
    <mergeCell ref="F420:F421"/>
    <mergeCell ref="G420:G421"/>
    <mergeCell ref="H420:H421"/>
    <mergeCell ref="L410:L411"/>
    <mergeCell ref="M410:M411"/>
    <mergeCell ref="N410:N411"/>
    <mergeCell ref="O410:O411"/>
    <mergeCell ref="P410:R411"/>
    <mergeCell ref="P412:R412"/>
    <mergeCell ref="A409:A411"/>
    <mergeCell ref="B409:B411"/>
    <mergeCell ref="P409:R409"/>
    <mergeCell ref="C410:C411"/>
    <mergeCell ref="D410:D411"/>
    <mergeCell ref="E410:E411"/>
    <mergeCell ref="F410:F411"/>
    <mergeCell ref="G410:G411"/>
    <mergeCell ref="H410:H411"/>
    <mergeCell ref="I410:I411"/>
    <mergeCell ref="O425:O426"/>
    <mergeCell ref="P425:Q426"/>
    <mergeCell ref="R425:R426"/>
    <mergeCell ref="P427:Q427"/>
    <mergeCell ref="A428:B428"/>
    <mergeCell ref="P428:Q428"/>
    <mergeCell ref="G425:G426"/>
    <mergeCell ref="H425:H426"/>
    <mergeCell ref="I425:I426"/>
    <mergeCell ref="L425:L426"/>
    <mergeCell ref="M425:M426"/>
    <mergeCell ref="N425:N426"/>
    <mergeCell ref="Q420:Q421"/>
    <mergeCell ref="R420:R421"/>
    <mergeCell ref="A423:B423"/>
    <mergeCell ref="A424:A426"/>
    <mergeCell ref="B424:B426"/>
    <mergeCell ref="P424:Q424"/>
    <mergeCell ref="C425:C426"/>
    <mergeCell ref="D425:D426"/>
    <mergeCell ref="E425:E426"/>
    <mergeCell ref="F425:F426"/>
    <mergeCell ref="I420:I421"/>
    <mergeCell ref="L420:L421"/>
    <mergeCell ref="M420:M421"/>
    <mergeCell ref="N420:N421"/>
    <mergeCell ref="O420:O421"/>
    <mergeCell ref="P420:P421"/>
    <mergeCell ref="A433:B433"/>
    <mergeCell ref="P433:R433"/>
    <mergeCell ref="A439:A441"/>
    <mergeCell ref="B439:B441"/>
    <mergeCell ref="C440:C441"/>
    <mergeCell ref="D440:D441"/>
    <mergeCell ref="E440:E441"/>
    <mergeCell ref="F440:F441"/>
    <mergeCell ref="G440:G441"/>
    <mergeCell ref="H440:H441"/>
    <mergeCell ref="L430:L431"/>
    <mergeCell ref="M430:M431"/>
    <mergeCell ref="N430:N431"/>
    <mergeCell ref="O430:O431"/>
    <mergeCell ref="P430:R431"/>
    <mergeCell ref="P432:R432"/>
    <mergeCell ref="A429:A431"/>
    <mergeCell ref="B429:B431"/>
    <mergeCell ref="P429:R429"/>
    <mergeCell ref="C430:C431"/>
    <mergeCell ref="D430:D431"/>
    <mergeCell ref="E430:E431"/>
    <mergeCell ref="F430:F431"/>
    <mergeCell ref="G430:G431"/>
    <mergeCell ref="H430:H431"/>
    <mergeCell ref="I430:I431"/>
    <mergeCell ref="O445:O446"/>
    <mergeCell ref="P445:Q446"/>
    <mergeCell ref="R445:R446"/>
    <mergeCell ref="B447:B448"/>
    <mergeCell ref="C447:C448"/>
    <mergeCell ref="K447:K448"/>
    <mergeCell ref="L447:L448"/>
    <mergeCell ref="P447:Q448"/>
    <mergeCell ref="R447:R448"/>
    <mergeCell ref="G445:G446"/>
    <mergeCell ref="H445:H446"/>
    <mergeCell ref="I445:I446"/>
    <mergeCell ref="L445:L446"/>
    <mergeCell ref="M445:M446"/>
    <mergeCell ref="N445:N446"/>
    <mergeCell ref="Q440:Q441"/>
    <mergeCell ref="R440:R441"/>
    <mergeCell ref="A443:B443"/>
    <mergeCell ref="A444:A446"/>
    <mergeCell ref="B444:B446"/>
    <mergeCell ref="P444:Q444"/>
    <mergeCell ref="C445:C446"/>
    <mergeCell ref="D445:D446"/>
    <mergeCell ref="E445:E446"/>
    <mergeCell ref="F445:F446"/>
    <mergeCell ref="I440:I441"/>
    <mergeCell ref="L440:L441"/>
    <mergeCell ref="M440:M441"/>
    <mergeCell ref="N440:N441"/>
    <mergeCell ref="O440:O441"/>
    <mergeCell ref="P440:P441"/>
    <mergeCell ref="I451:I452"/>
    <mergeCell ref="L451:L452"/>
    <mergeCell ref="A459:B459"/>
    <mergeCell ref="P459:R459"/>
    <mergeCell ref="A464:A466"/>
    <mergeCell ref="B464:B466"/>
    <mergeCell ref="C465:C466"/>
    <mergeCell ref="D465:D466"/>
    <mergeCell ref="E465:E466"/>
    <mergeCell ref="F465:F466"/>
    <mergeCell ref="G465:G466"/>
    <mergeCell ref="H465:H466"/>
    <mergeCell ref="L456:L457"/>
    <mergeCell ref="M456:M457"/>
    <mergeCell ref="N456:N457"/>
    <mergeCell ref="O456:O457"/>
    <mergeCell ref="P456:R457"/>
    <mergeCell ref="P458:R458"/>
    <mergeCell ref="A455:A457"/>
    <mergeCell ref="B455:B457"/>
    <mergeCell ref="P455:R455"/>
    <mergeCell ref="C456:C457"/>
    <mergeCell ref="D456:D457"/>
    <mergeCell ref="E456:E457"/>
    <mergeCell ref="F456:F457"/>
    <mergeCell ref="G456:G457"/>
    <mergeCell ref="H456:H457"/>
    <mergeCell ref="I456:I457"/>
    <mergeCell ref="O470:O471"/>
    <mergeCell ref="P470:Q471"/>
    <mergeCell ref="R470:R471"/>
    <mergeCell ref="P472:Q472"/>
    <mergeCell ref="A473:B473"/>
    <mergeCell ref="P473:Q473"/>
    <mergeCell ref="G470:G471"/>
    <mergeCell ref="H470:H471"/>
    <mergeCell ref="I470:I471"/>
    <mergeCell ref="L470:L471"/>
    <mergeCell ref="M470:M471"/>
    <mergeCell ref="N470:N471"/>
    <mergeCell ref="Q465:Q466"/>
    <mergeCell ref="R465:R466"/>
    <mergeCell ref="A468:B468"/>
    <mergeCell ref="A469:A471"/>
    <mergeCell ref="B469:B471"/>
    <mergeCell ref="P469:Q469"/>
    <mergeCell ref="C470:C471"/>
    <mergeCell ref="D470:D471"/>
    <mergeCell ref="E470:E471"/>
    <mergeCell ref="F470:F471"/>
    <mergeCell ref="I465:I466"/>
    <mergeCell ref="L465:L466"/>
    <mergeCell ref="M465:M466"/>
    <mergeCell ref="N465:N466"/>
    <mergeCell ref="O465:O466"/>
    <mergeCell ref="P465:P466"/>
    <mergeCell ref="A478:B478"/>
    <mergeCell ref="P478:R478"/>
    <mergeCell ref="A482:A484"/>
    <mergeCell ref="B482:B484"/>
    <mergeCell ref="C483:C484"/>
    <mergeCell ref="D483:D484"/>
    <mergeCell ref="E483:E484"/>
    <mergeCell ref="F483:F484"/>
    <mergeCell ref="G483:G484"/>
    <mergeCell ref="H483:H484"/>
    <mergeCell ref="L475:L476"/>
    <mergeCell ref="M475:M476"/>
    <mergeCell ref="N475:N476"/>
    <mergeCell ref="O475:O476"/>
    <mergeCell ref="P475:R476"/>
    <mergeCell ref="P477:R477"/>
    <mergeCell ref="A474:A476"/>
    <mergeCell ref="B474:B476"/>
    <mergeCell ref="P474:R474"/>
    <mergeCell ref="C475:C476"/>
    <mergeCell ref="D475:D476"/>
    <mergeCell ref="E475:E476"/>
    <mergeCell ref="F475:F476"/>
    <mergeCell ref="G475:G476"/>
    <mergeCell ref="H475:H476"/>
    <mergeCell ref="I475:I476"/>
    <mergeCell ref="O488:O489"/>
    <mergeCell ref="P488:Q489"/>
    <mergeCell ref="R488:R489"/>
    <mergeCell ref="P490:Q490"/>
    <mergeCell ref="A491:B491"/>
    <mergeCell ref="P491:Q491"/>
    <mergeCell ref="G488:G489"/>
    <mergeCell ref="H488:H489"/>
    <mergeCell ref="I488:I489"/>
    <mergeCell ref="L488:L489"/>
    <mergeCell ref="M488:M489"/>
    <mergeCell ref="N488:N489"/>
    <mergeCell ref="Q483:Q484"/>
    <mergeCell ref="R483:R484"/>
    <mergeCell ref="A486:B486"/>
    <mergeCell ref="A487:A489"/>
    <mergeCell ref="B487:B489"/>
    <mergeCell ref="P487:Q487"/>
    <mergeCell ref="C488:C489"/>
    <mergeCell ref="D488:D489"/>
    <mergeCell ref="E488:E489"/>
    <mergeCell ref="F488:F489"/>
    <mergeCell ref="I483:I484"/>
    <mergeCell ref="L483:L484"/>
    <mergeCell ref="M483:M484"/>
    <mergeCell ref="N483:N484"/>
    <mergeCell ref="O483:O484"/>
    <mergeCell ref="P483:P484"/>
    <mergeCell ref="A496:B496"/>
    <mergeCell ref="P496:R496"/>
    <mergeCell ref="A500:A502"/>
    <mergeCell ref="B500:B502"/>
    <mergeCell ref="C501:C502"/>
    <mergeCell ref="D501:D502"/>
    <mergeCell ref="E501:E502"/>
    <mergeCell ref="F501:F502"/>
    <mergeCell ref="G501:G502"/>
    <mergeCell ref="H501:H502"/>
    <mergeCell ref="L493:L494"/>
    <mergeCell ref="M493:M494"/>
    <mergeCell ref="N493:N494"/>
    <mergeCell ref="O493:O494"/>
    <mergeCell ref="P493:R494"/>
    <mergeCell ref="P495:R495"/>
    <mergeCell ref="A492:A494"/>
    <mergeCell ref="B492:B494"/>
    <mergeCell ref="P492:R492"/>
    <mergeCell ref="C493:C494"/>
    <mergeCell ref="D493:D494"/>
    <mergeCell ref="E493:E494"/>
    <mergeCell ref="F493:F494"/>
    <mergeCell ref="G493:G494"/>
    <mergeCell ref="H493:H494"/>
    <mergeCell ref="I493:I494"/>
    <mergeCell ref="O506:O507"/>
    <mergeCell ref="P506:Q507"/>
    <mergeCell ref="R506:R507"/>
    <mergeCell ref="P508:Q508"/>
    <mergeCell ref="A509:B509"/>
    <mergeCell ref="P509:Q509"/>
    <mergeCell ref="G506:G507"/>
    <mergeCell ref="H506:H507"/>
    <mergeCell ref="I506:I507"/>
    <mergeCell ref="L506:L507"/>
    <mergeCell ref="M506:M507"/>
    <mergeCell ref="N506:N507"/>
    <mergeCell ref="Q501:Q502"/>
    <mergeCell ref="R501:R502"/>
    <mergeCell ref="A504:B504"/>
    <mergeCell ref="A505:A507"/>
    <mergeCell ref="B505:B507"/>
    <mergeCell ref="P505:Q505"/>
    <mergeCell ref="C506:C507"/>
    <mergeCell ref="D506:D507"/>
    <mergeCell ref="E506:E507"/>
    <mergeCell ref="F506:F507"/>
    <mergeCell ref="I501:I502"/>
    <mergeCell ref="L501:L502"/>
    <mergeCell ref="M501:M502"/>
    <mergeCell ref="N501:N502"/>
    <mergeCell ref="O501:O502"/>
    <mergeCell ref="P501:P502"/>
    <mergeCell ref="A514:B514"/>
    <mergeCell ref="P514:R514"/>
    <mergeCell ref="A519:A521"/>
    <mergeCell ref="B519:B521"/>
    <mergeCell ref="C520:C521"/>
    <mergeCell ref="D520:D521"/>
    <mergeCell ref="E520:E521"/>
    <mergeCell ref="F520:F521"/>
    <mergeCell ref="G520:G521"/>
    <mergeCell ref="H520:H521"/>
    <mergeCell ref="L511:L512"/>
    <mergeCell ref="M511:M512"/>
    <mergeCell ref="N511:N512"/>
    <mergeCell ref="O511:O512"/>
    <mergeCell ref="P511:R512"/>
    <mergeCell ref="P513:R513"/>
    <mergeCell ref="A510:A512"/>
    <mergeCell ref="B510:B512"/>
    <mergeCell ref="P510:R510"/>
    <mergeCell ref="C511:C512"/>
    <mergeCell ref="D511:D512"/>
    <mergeCell ref="E511:E512"/>
    <mergeCell ref="F511:F512"/>
    <mergeCell ref="G511:G512"/>
    <mergeCell ref="H511:H512"/>
    <mergeCell ref="I511:I512"/>
    <mergeCell ref="R525:R526"/>
    <mergeCell ref="P527:Q527"/>
    <mergeCell ref="A528:B528"/>
    <mergeCell ref="P528:Q528"/>
    <mergeCell ref="A529:A531"/>
    <mergeCell ref="B529:B531"/>
    <mergeCell ref="P529:R529"/>
    <mergeCell ref="C530:C531"/>
    <mergeCell ref="D530:D531"/>
    <mergeCell ref="E530:E531"/>
    <mergeCell ref="K525:K526"/>
    <mergeCell ref="L525:L526"/>
    <mergeCell ref="M525:M526"/>
    <mergeCell ref="N525:N526"/>
    <mergeCell ref="O525:O526"/>
    <mergeCell ref="P525:Q526"/>
    <mergeCell ref="P520:P521"/>
    <mergeCell ref="Q520:Q521"/>
    <mergeCell ref="R520:R521"/>
    <mergeCell ref="A523:B523"/>
    <mergeCell ref="A524:A526"/>
    <mergeCell ref="B524:B526"/>
    <mergeCell ref="P524:Q524"/>
    <mergeCell ref="C525:C526"/>
    <mergeCell ref="D525:D526"/>
    <mergeCell ref="E525:E526"/>
    <mergeCell ref="I520:I521"/>
    <mergeCell ref="K520:K521"/>
    <mergeCell ref="L520:L521"/>
    <mergeCell ref="M520:M521"/>
    <mergeCell ref="N520:N521"/>
    <mergeCell ref="O520:O521"/>
    <mergeCell ref="N535:N536"/>
    <mergeCell ref="O535:O536"/>
    <mergeCell ref="P535:R536"/>
    <mergeCell ref="P537:R537"/>
    <mergeCell ref="A538:B538"/>
    <mergeCell ref="P538:R538"/>
    <mergeCell ref="A534:A536"/>
    <mergeCell ref="B534:B536"/>
    <mergeCell ref="P534:R534"/>
    <mergeCell ref="C535:C536"/>
    <mergeCell ref="D535:D536"/>
    <mergeCell ref="E535:E536"/>
    <mergeCell ref="F535:F536"/>
    <mergeCell ref="G535:G536"/>
    <mergeCell ref="H535:H536"/>
    <mergeCell ref="I535:I536"/>
    <mergeCell ref="M530:M531"/>
    <mergeCell ref="N530:N531"/>
    <mergeCell ref="O530:O531"/>
    <mergeCell ref="P530:R531"/>
    <mergeCell ref="P532:R532"/>
    <mergeCell ref="A533:B533"/>
    <mergeCell ref="P533:R533"/>
    <mergeCell ref="F530:F531"/>
    <mergeCell ref="G530:G531"/>
    <mergeCell ref="H530:H531"/>
    <mergeCell ref="I530:I531"/>
    <mergeCell ref="K530:K531"/>
    <mergeCell ref="L530:L531"/>
    <mergeCell ref="K535:K536"/>
    <mergeCell ref="L535:L536"/>
    <mergeCell ref="M535:M536"/>
    <mergeCell ref="P546:Q546"/>
    <mergeCell ref="C547:C548"/>
    <mergeCell ref="D547:D548"/>
    <mergeCell ref="E547:E548"/>
    <mergeCell ref="F547:F548"/>
    <mergeCell ref="G547:G548"/>
    <mergeCell ref="H547:H548"/>
    <mergeCell ref="I547:I548"/>
    <mergeCell ref="N542:N543"/>
    <mergeCell ref="O542:O543"/>
    <mergeCell ref="P542:P543"/>
    <mergeCell ref="Q542:Q543"/>
    <mergeCell ref="R542:R543"/>
    <mergeCell ref="A545:B545"/>
    <mergeCell ref="G542:G543"/>
    <mergeCell ref="H542:H543"/>
    <mergeCell ref="I542:I543"/>
    <mergeCell ref="K542:K543"/>
    <mergeCell ref="L542:L543"/>
    <mergeCell ref="M542:M543"/>
    <mergeCell ref="A541:A543"/>
    <mergeCell ref="B541:B543"/>
    <mergeCell ref="C542:C543"/>
    <mergeCell ref="D542:D543"/>
    <mergeCell ref="E542:E543"/>
    <mergeCell ref="F542:F543"/>
    <mergeCell ref="A562:B562"/>
    <mergeCell ref="M552:M553"/>
    <mergeCell ref="N552:N553"/>
    <mergeCell ref="O552:O553"/>
    <mergeCell ref="P552:R553"/>
    <mergeCell ref="P554:R554"/>
    <mergeCell ref="A555:B555"/>
    <mergeCell ref="P555:R555"/>
    <mergeCell ref="F552:F553"/>
    <mergeCell ref="G552:G553"/>
    <mergeCell ref="H552:H553"/>
    <mergeCell ref="I552:I553"/>
    <mergeCell ref="K552:K553"/>
    <mergeCell ref="L552:L553"/>
    <mergeCell ref="R547:R548"/>
    <mergeCell ref="P549:Q549"/>
    <mergeCell ref="A550:B550"/>
    <mergeCell ref="P550:Q550"/>
    <mergeCell ref="A551:A553"/>
    <mergeCell ref="B551:B553"/>
    <mergeCell ref="P551:R551"/>
    <mergeCell ref="C552:C553"/>
    <mergeCell ref="D552:D553"/>
    <mergeCell ref="E552:E553"/>
    <mergeCell ref="K547:K548"/>
    <mergeCell ref="L547:L548"/>
    <mergeCell ref="M547:M548"/>
    <mergeCell ref="N547:N548"/>
    <mergeCell ref="O547:O548"/>
    <mergeCell ref="P547:Q548"/>
    <mergeCell ref="A546:A548"/>
    <mergeCell ref="B546:B548"/>
  </mergeCell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123E8-53BB-4B9F-A35F-4E29498446BF}">
  <dimension ref="A1:G146"/>
  <sheetViews>
    <sheetView topLeftCell="C14" zoomScaleNormal="100" workbookViewId="0">
      <selection activeCell="C39" sqref="C39"/>
    </sheetView>
  </sheetViews>
  <sheetFormatPr baseColWidth="10" defaultColWidth="9.1640625" defaultRowHeight="14"/>
  <cols>
    <col min="1" max="1" width="9.1640625" style="42"/>
    <col min="2" max="2" width="43.1640625" style="65" customWidth="1"/>
    <col min="3" max="3" width="9.83203125" style="42" customWidth="1"/>
    <col min="4" max="4" width="68.33203125" style="44" customWidth="1"/>
    <col min="5" max="5" width="130.6640625" style="44" customWidth="1"/>
    <col min="6" max="6" width="13.6640625" style="44" bestFit="1" customWidth="1"/>
    <col min="7" max="16384" width="9.1640625" style="42"/>
  </cols>
  <sheetData>
    <row r="1" spans="1:7">
      <c r="A1" s="59" t="s">
        <v>101</v>
      </c>
      <c r="B1" s="60" t="s">
        <v>103</v>
      </c>
      <c r="C1" s="60" t="s">
        <v>45</v>
      </c>
      <c r="D1" s="66" t="s">
        <v>139</v>
      </c>
      <c r="E1" s="78" t="s">
        <v>135</v>
      </c>
      <c r="F1" s="60" t="s">
        <v>429</v>
      </c>
      <c r="G1" s="60" t="s">
        <v>46</v>
      </c>
    </row>
    <row r="2" spans="1:7">
      <c r="A2" s="43" t="s">
        <v>102</v>
      </c>
      <c r="B2" s="77" t="s">
        <v>14</v>
      </c>
      <c r="C2" s="43" t="s">
        <v>76</v>
      </c>
      <c r="D2" s="63" t="s">
        <v>195</v>
      </c>
      <c r="E2" s="41" t="s">
        <v>196</v>
      </c>
      <c r="F2" s="43">
        <f>INDEX(CUSTO!$F$4:$F$38,MATCH(Tabela3[[#This Row],[CARGOS]],CUSTO!$A$4:$A$38,0))</f>
        <v>7159.57</v>
      </c>
      <c r="G2" s="43">
        <v>2</v>
      </c>
    </row>
    <row r="3" spans="1:7">
      <c r="A3" s="43" t="s">
        <v>102</v>
      </c>
      <c r="B3" s="77" t="s">
        <v>30</v>
      </c>
      <c r="C3" s="43" t="s">
        <v>82</v>
      </c>
      <c r="D3" s="63" t="s">
        <v>140</v>
      </c>
      <c r="E3" s="41" t="s">
        <v>153</v>
      </c>
      <c r="F3" s="43">
        <f>INDEX(CUSTO!$F$4:$F$38,MATCH(Tabela3[[#This Row],[CARGOS]],CUSTO!$A$4:$A$38,0))</f>
        <v>4787.59</v>
      </c>
      <c r="G3" s="43">
        <v>31</v>
      </c>
    </row>
    <row r="4" spans="1:7">
      <c r="A4" s="43" t="s">
        <v>102</v>
      </c>
      <c r="B4" s="77" t="s">
        <v>11</v>
      </c>
      <c r="C4" s="43" t="s">
        <v>76</v>
      </c>
      <c r="D4" s="63" t="s">
        <v>141</v>
      </c>
      <c r="E4" s="41" t="s">
        <v>142</v>
      </c>
      <c r="F4" s="43">
        <f>INDEX(CUSTO!$F$4:$F$38,MATCH(Tabela3[[#This Row],[CARGOS]],CUSTO!$A$4:$A$38,0))</f>
        <v>7159.57</v>
      </c>
      <c r="G4" s="43">
        <v>1</v>
      </c>
    </row>
    <row r="5" spans="1:7">
      <c r="A5" s="43" t="s">
        <v>102</v>
      </c>
      <c r="B5" s="77" t="s">
        <v>22</v>
      </c>
      <c r="C5" s="43" t="s">
        <v>76</v>
      </c>
      <c r="D5" s="63" t="s">
        <v>197</v>
      </c>
      <c r="E5" s="41" t="s">
        <v>198</v>
      </c>
      <c r="F5" s="43">
        <f>INDEX(CUSTO!$F$4:$F$38,MATCH(Tabela3[[#This Row],[CARGOS]],CUSTO!$A$4:$A$38,0))</f>
        <v>7159.57</v>
      </c>
      <c r="G5" s="43">
        <v>2</v>
      </c>
    </row>
    <row r="6" spans="1:7">
      <c r="A6" s="43" t="s">
        <v>102</v>
      </c>
      <c r="B6" s="41" t="s">
        <v>174</v>
      </c>
      <c r="C6" s="43" t="s">
        <v>76</v>
      </c>
      <c r="D6" s="63" t="s">
        <v>199</v>
      </c>
      <c r="E6" s="41" t="s">
        <v>200</v>
      </c>
      <c r="F6" s="43">
        <f>INDEX(CUSTO!$F$4:$F$38,MATCH(Tabela3[[#This Row],[CARGOS]],CUSTO!$A$4:$A$38,0))</f>
        <v>13753.96</v>
      </c>
      <c r="G6" s="43">
        <v>1</v>
      </c>
    </row>
    <row r="7" spans="1:7">
      <c r="A7" s="43" t="s">
        <v>102</v>
      </c>
      <c r="B7" s="41" t="s">
        <v>174</v>
      </c>
      <c r="C7" s="43" t="s">
        <v>76</v>
      </c>
      <c r="D7" s="63" t="s">
        <v>143</v>
      </c>
      <c r="E7" s="41" t="s">
        <v>201</v>
      </c>
      <c r="F7" s="43">
        <f>INDEX(CUSTO!$F$4:$F$38,MATCH(Tabela3[[#This Row],[CARGOS]],CUSTO!$A$4:$A$38,0))</f>
        <v>13753.96</v>
      </c>
      <c r="G7" s="43">
        <v>2</v>
      </c>
    </row>
    <row r="8" spans="1:7">
      <c r="A8" s="43" t="s">
        <v>102</v>
      </c>
      <c r="B8" s="41" t="s">
        <v>174</v>
      </c>
      <c r="C8" s="43" t="s">
        <v>76</v>
      </c>
      <c r="D8" s="63" t="s">
        <v>202</v>
      </c>
      <c r="E8" s="41" t="s">
        <v>203</v>
      </c>
      <c r="F8" s="43">
        <f>INDEX(CUSTO!$F$4:$F$38,MATCH(Tabela3[[#This Row],[CARGOS]],CUSTO!$A$4:$A$38,0))</f>
        <v>13753.96</v>
      </c>
      <c r="G8" s="43">
        <v>2</v>
      </c>
    </row>
    <row r="9" spans="1:7">
      <c r="A9" s="43" t="s">
        <v>102</v>
      </c>
      <c r="B9" s="41" t="s">
        <v>174</v>
      </c>
      <c r="C9" s="43" t="s">
        <v>76</v>
      </c>
      <c r="D9" s="63" t="s">
        <v>204</v>
      </c>
      <c r="E9" s="41" t="s">
        <v>144</v>
      </c>
      <c r="F9" s="43">
        <f>INDEX(CUSTO!$F$4:$F$38,MATCH(Tabela3[[#This Row],[CARGOS]],CUSTO!$A$4:$A$38,0))</f>
        <v>13753.96</v>
      </c>
      <c r="G9" s="43">
        <v>1</v>
      </c>
    </row>
    <row r="10" spans="1:7">
      <c r="A10" s="43" t="s">
        <v>102</v>
      </c>
      <c r="B10" s="41" t="s">
        <v>174</v>
      </c>
      <c r="C10" s="43" t="s">
        <v>76</v>
      </c>
      <c r="D10" s="63" t="s">
        <v>205</v>
      </c>
      <c r="E10" s="41" t="s">
        <v>145</v>
      </c>
      <c r="F10" s="43">
        <f>INDEX(CUSTO!$F$4:$F$38,MATCH(Tabela3[[#This Row],[CARGOS]],CUSTO!$A$4:$A$38,0))</f>
        <v>13753.96</v>
      </c>
      <c r="G10" s="43">
        <v>1</v>
      </c>
    </row>
    <row r="11" spans="1:7">
      <c r="A11" s="43" t="s">
        <v>102</v>
      </c>
      <c r="B11" s="41" t="s">
        <v>174</v>
      </c>
      <c r="C11" s="43" t="s">
        <v>76</v>
      </c>
      <c r="D11" s="63" t="s">
        <v>206</v>
      </c>
      <c r="E11" s="41" t="s">
        <v>146</v>
      </c>
      <c r="F11" s="43">
        <f>INDEX(CUSTO!$F$4:$F$38,MATCH(Tabela3[[#This Row],[CARGOS]],CUSTO!$A$4:$A$38,0))</f>
        <v>13753.96</v>
      </c>
      <c r="G11" s="43">
        <v>1</v>
      </c>
    </row>
    <row r="12" spans="1:7">
      <c r="A12" s="43" t="s">
        <v>102</v>
      </c>
      <c r="B12" s="41" t="s">
        <v>174</v>
      </c>
      <c r="C12" s="43" t="s">
        <v>76</v>
      </c>
      <c r="D12" s="63" t="s">
        <v>207</v>
      </c>
      <c r="E12" s="41" t="s">
        <v>146</v>
      </c>
      <c r="F12" s="43">
        <f>INDEX(CUSTO!$F$4:$F$38,MATCH(Tabela3[[#This Row],[CARGOS]],CUSTO!$A$4:$A$38,0))</f>
        <v>13753.96</v>
      </c>
      <c r="G12" s="43">
        <v>1</v>
      </c>
    </row>
    <row r="13" spans="1:7">
      <c r="A13" s="43" t="s">
        <v>102</v>
      </c>
      <c r="B13" s="41" t="s">
        <v>174</v>
      </c>
      <c r="C13" s="43" t="s">
        <v>76</v>
      </c>
      <c r="D13" s="63" t="s">
        <v>208</v>
      </c>
      <c r="E13" s="41" t="s">
        <v>147</v>
      </c>
      <c r="F13" s="43">
        <f>INDEX(CUSTO!$F$4:$F$38,MATCH(Tabela3[[#This Row],[CARGOS]],CUSTO!$A$4:$A$38,0))</f>
        <v>13753.96</v>
      </c>
      <c r="G13" s="43">
        <v>2</v>
      </c>
    </row>
    <row r="14" spans="1:7">
      <c r="A14" s="43" t="s">
        <v>102</v>
      </c>
      <c r="B14" s="41" t="s">
        <v>174</v>
      </c>
      <c r="C14" s="43" t="s">
        <v>76</v>
      </c>
      <c r="D14" s="63" t="s">
        <v>209</v>
      </c>
      <c r="E14" s="41" t="s">
        <v>148</v>
      </c>
      <c r="F14" s="43">
        <f>INDEX(CUSTO!$F$4:$F$38,MATCH(Tabela3[[#This Row],[CARGOS]],CUSTO!$A$4:$A$38,0))</f>
        <v>13753.96</v>
      </c>
      <c r="G14" s="43">
        <v>1</v>
      </c>
    </row>
    <row r="15" spans="1:7">
      <c r="A15" s="43" t="s">
        <v>102</v>
      </c>
      <c r="B15" s="41" t="s">
        <v>174</v>
      </c>
      <c r="C15" s="43" t="s">
        <v>76</v>
      </c>
      <c r="D15" s="63" t="s">
        <v>210</v>
      </c>
      <c r="E15" s="41" t="s">
        <v>211</v>
      </c>
      <c r="F15" s="43">
        <f>INDEX(CUSTO!$F$4:$F$38,MATCH(Tabela3[[#This Row],[CARGOS]],CUSTO!$A$4:$A$38,0))</f>
        <v>13753.96</v>
      </c>
      <c r="G15" s="43">
        <v>2</v>
      </c>
    </row>
    <row r="16" spans="1:7">
      <c r="A16" s="43" t="s">
        <v>102</v>
      </c>
      <c r="B16" s="41" t="s">
        <v>174</v>
      </c>
      <c r="C16" s="43" t="s">
        <v>76</v>
      </c>
      <c r="D16" s="63" t="s">
        <v>212</v>
      </c>
      <c r="E16" s="41" t="s">
        <v>213</v>
      </c>
      <c r="F16" s="43">
        <f>INDEX(CUSTO!$F$4:$F$38,MATCH(Tabela3[[#This Row],[CARGOS]],CUSTO!$A$4:$A$38,0))</f>
        <v>13753.96</v>
      </c>
      <c r="G16" s="43">
        <v>6</v>
      </c>
    </row>
    <row r="17" spans="1:7">
      <c r="A17" s="43" t="s">
        <v>102</v>
      </c>
      <c r="B17" s="41" t="s">
        <v>174</v>
      </c>
      <c r="C17" s="43" t="s">
        <v>76</v>
      </c>
      <c r="D17" s="63" t="s">
        <v>214</v>
      </c>
      <c r="E17" s="41" t="s">
        <v>215</v>
      </c>
      <c r="F17" s="43">
        <f>INDEX(CUSTO!$F$4:$F$38,MATCH(Tabela3[[#This Row],[CARGOS]],CUSTO!$A$4:$A$38,0))</f>
        <v>13753.96</v>
      </c>
      <c r="G17" s="43">
        <v>3</v>
      </c>
    </row>
    <row r="18" spans="1:7">
      <c r="A18" s="43" t="s">
        <v>102</v>
      </c>
      <c r="B18" s="41" t="s">
        <v>174</v>
      </c>
      <c r="C18" s="43" t="s">
        <v>76</v>
      </c>
      <c r="D18" s="63" t="s">
        <v>216</v>
      </c>
      <c r="E18" s="41" t="s">
        <v>217</v>
      </c>
      <c r="F18" s="43">
        <f>INDEX(CUSTO!$F$4:$F$38,MATCH(Tabela3[[#This Row],[CARGOS]],CUSTO!$A$4:$A$38,0))</f>
        <v>13753.96</v>
      </c>
      <c r="G18" s="43">
        <v>1</v>
      </c>
    </row>
    <row r="19" spans="1:7">
      <c r="A19" s="43" t="s">
        <v>102</v>
      </c>
      <c r="B19" s="41" t="s">
        <v>174</v>
      </c>
      <c r="C19" s="43" t="s">
        <v>76</v>
      </c>
      <c r="D19" s="63" t="s">
        <v>218</v>
      </c>
      <c r="E19" s="41" t="s">
        <v>219</v>
      </c>
      <c r="F19" s="43">
        <f>INDEX(CUSTO!$F$4:$F$38,MATCH(Tabela3[[#This Row],[CARGOS]],CUSTO!$A$4:$A$38,0))</f>
        <v>13753.96</v>
      </c>
      <c r="G19" s="43">
        <v>1</v>
      </c>
    </row>
    <row r="20" spans="1:7">
      <c r="A20" s="43" t="s">
        <v>102</v>
      </c>
      <c r="B20" s="41" t="s">
        <v>174</v>
      </c>
      <c r="C20" s="43" t="s">
        <v>76</v>
      </c>
      <c r="D20" s="63" t="s">
        <v>220</v>
      </c>
      <c r="E20" s="41" t="s">
        <v>221</v>
      </c>
      <c r="F20" s="43">
        <f>INDEX(CUSTO!$F$4:$F$38,MATCH(Tabela3[[#This Row],[CARGOS]],CUSTO!$A$4:$A$38,0))</f>
        <v>13753.96</v>
      </c>
      <c r="G20" s="43">
        <v>4</v>
      </c>
    </row>
    <row r="21" spans="1:7">
      <c r="A21" s="43" t="s">
        <v>102</v>
      </c>
      <c r="B21" s="41" t="s">
        <v>174</v>
      </c>
      <c r="C21" s="43" t="s">
        <v>76</v>
      </c>
      <c r="D21" s="63" t="s">
        <v>222</v>
      </c>
      <c r="E21" s="41" t="s">
        <v>223</v>
      </c>
      <c r="F21" s="43">
        <f>INDEX(CUSTO!$F$4:$F$38,MATCH(Tabela3[[#This Row],[CARGOS]],CUSTO!$A$4:$A$38,0))</f>
        <v>13753.96</v>
      </c>
      <c r="G21" s="43">
        <v>2</v>
      </c>
    </row>
    <row r="22" spans="1:7">
      <c r="A22" s="43" t="s">
        <v>102</v>
      </c>
      <c r="B22" s="41" t="s">
        <v>174</v>
      </c>
      <c r="C22" s="43" t="s">
        <v>76</v>
      </c>
      <c r="D22" s="63" t="s">
        <v>224</v>
      </c>
      <c r="E22" s="41" t="s">
        <v>150</v>
      </c>
      <c r="F22" s="43">
        <f>INDEX(CUSTO!$F$4:$F$38,MATCH(Tabela3[[#This Row],[CARGOS]],CUSTO!$A$4:$A$38,0))</f>
        <v>13753.96</v>
      </c>
      <c r="G22" s="43">
        <v>1</v>
      </c>
    </row>
    <row r="23" spans="1:7">
      <c r="A23" s="43" t="s">
        <v>102</v>
      </c>
      <c r="B23" s="41" t="s">
        <v>174</v>
      </c>
      <c r="C23" s="43" t="s">
        <v>76</v>
      </c>
      <c r="D23" s="63" t="s">
        <v>225</v>
      </c>
      <c r="E23" s="41" t="s">
        <v>226</v>
      </c>
      <c r="F23" s="43">
        <f>INDEX(CUSTO!$F$4:$F$38,MATCH(Tabela3[[#This Row],[CARGOS]],CUSTO!$A$4:$A$38,0))</f>
        <v>13753.96</v>
      </c>
      <c r="G23" s="43">
        <v>1</v>
      </c>
    </row>
    <row r="24" spans="1:7">
      <c r="A24" s="43" t="s">
        <v>102</v>
      </c>
      <c r="B24" s="41" t="s">
        <v>174</v>
      </c>
      <c r="C24" s="43" t="s">
        <v>76</v>
      </c>
      <c r="D24" s="63" t="s">
        <v>227</v>
      </c>
      <c r="E24" s="41" t="s">
        <v>228</v>
      </c>
      <c r="F24" s="43">
        <f>INDEX(CUSTO!$F$4:$F$38,MATCH(Tabela3[[#This Row],[CARGOS]],CUSTO!$A$4:$A$38,0))</f>
        <v>13753.96</v>
      </c>
      <c r="G24" s="43">
        <v>1</v>
      </c>
    </row>
    <row r="25" spans="1:7">
      <c r="A25" s="43" t="s">
        <v>102</v>
      </c>
      <c r="B25" s="41" t="s">
        <v>174</v>
      </c>
      <c r="C25" s="43" t="s">
        <v>76</v>
      </c>
      <c r="D25" s="63" t="s">
        <v>229</v>
      </c>
      <c r="E25" s="41" t="s">
        <v>230</v>
      </c>
      <c r="F25" s="43">
        <f>INDEX(CUSTO!$F$4:$F$38,MATCH(Tabela3[[#This Row],[CARGOS]],CUSTO!$A$4:$A$38,0))</f>
        <v>13753.96</v>
      </c>
      <c r="G25" s="43">
        <v>1</v>
      </c>
    </row>
    <row r="26" spans="1:7">
      <c r="A26" s="43" t="s">
        <v>102</v>
      </c>
      <c r="B26" s="41" t="s">
        <v>174</v>
      </c>
      <c r="C26" s="43" t="s">
        <v>76</v>
      </c>
      <c r="D26" s="63" t="s">
        <v>231</v>
      </c>
      <c r="E26" s="41" t="s">
        <v>232</v>
      </c>
      <c r="F26" s="43">
        <f>INDEX(CUSTO!$F$4:$F$38,MATCH(Tabela3[[#This Row],[CARGOS]],CUSTO!$A$4:$A$38,0))</f>
        <v>13753.96</v>
      </c>
      <c r="G26" s="43">
        <v>1</v>
      </c>
    </row>
    <row r="27" spans="1:7">
      <c r="A27" s="43" t="s">
        <v>102</v>
      </c>
      <c r="B27" s="41" t="s">
        <v>361</v>
      </c>
      <c r="C27" s="43" t="s">
        <v>76</v>
      </c>
      <c r="D27" s="63" t="s">
        <v>233</v>
      </c>
      <c r="E27" s="41" t="s">
        <v>234</v>
      </c>
      <c r="F27" s="43">
        <f>INDEX(CUSTO!$F$4:$F$38,MATCH(Tabela3[[#This Row],[CARGOS]],CUSTO!$A$4:$A$38,0))</f>
        <v>5613.57</v>
      </c>
      <c r="G27" s="43">
        <v>1</v>
      </c>
    </row>
    <row r="28" spans="1:7">
      <c r="A28" s="43" t="s">
        <v>102</v>
      </c>
      <c r="B28" s="41" t="s">
        <v>361</v>
      </c>
      <c r="C28" s="43" t="s">
        <v>76</v>
      </c>
      <c r="D28" s="63" t="s">
        <v>235</v>
      </c>
      <c r="E28" s="41" t="s">
        <v>236</v>
      </c>
      <c r="F28" s="43">
        <f>INDEX(CUSTO!$F$4:$F$38,MATCH(Tabela3[[#This Row],[CARGOS]],CUSTO!$A$4:$A$38,0))</f>
        <v>5613.57</v>
      </c>
      <c r="G28" s="43">
        <v>1</v>
      </c>
    </row>
    <row r="29" spans="1:7">
      <c r="A29" s="43" t="s">
        <v>102</v>
      </c>
      <c r="B29" s="41" t="s">
        <v>361</v>
      </c>
      <c r="C29" s="43" t="s">
        <v>76</v>
      </c>
      <c r="D29" s="63" t="s">
        <v>237</v>
      </c>
      <c r="E29" s="41" t="s">
        <v>238</v>
      </c>
      <c r="F29" s="43">
        <f>INDEX(CUSTO!$F$4:$F$38,MATCH(Tabela3[[#This Row],[CARGOS]],CUSTO!$A$4:$A$38,0))</f>
        <v>5613.57</v>
      </c>
      <c r="G29" s="43">
        <v>1</v>
      </c>
    </row>
    <row r="30" spans="1:7">
      <c r="A30" s="43" t="s">
        <v>102</v>
      </c>
      <c r="B30" s="41" t="s">
        <v>361</v>
      </c>
      <c r="C30" s="43" t="s">
        <v>76</v>
      </c>
      <c r="D30" s="63" t="s">
        <v>239</v>
      </c>
      <c r="E30" s="41" t="s">
        <v>240</v>
      </c>
      <c r="F30" s="43">
        <f>INDEX(CUSTO!$F$4:$F$38,MATCH(Tabela3[[#This Row],[CARGOS]],CUSTO!$A$4:$A$38,0))</f>
        <v>5613.57</v>
      </c>
      <c r="G30" s="43">
        <v>1</v>
      </c>
    </row>
    <row r="31" spans="1:7">
      <c r="A31" s="43" t="s">
        <v>102</v>
      </c>
      <c r="B31" s="41" t="s">
        <v>361</v>
      </c>
      <c r="C31" s="43" t="s">
        <v>76</v>
      </c>
      <c r="D31" s="63" t="s">
        <v>241</v>
      </c>
      <c r="E31" s="41" t="s">
        <v>242</v>
      </c>
      <c r="F31" s="43">
        <f>INDEX(CUSTO!$F$4:$F$38,MATCH(Tabela3[[#This Row],[CARGOS]],CUSTO!$A$4:$A$38,0))</f>
        <v>5613.57</v>
      </c>
      <c r="G31" s="43">
        <v>1</v>
      </c>
    </row>
    <row r="32" spans="1:7">
      <c r="A32" s="43" t="s">
        <v>102</v>
      </c>
      <c r="B32" s="41" t="s">
        <v>361</v>
      </c>
      <c r="C32" s="43" t="s">
        <v>76</v>
      </c>
      <c r="D32" s="63" t="s">
        <v>243</v>
      </c>
      <c r="E32" s="41" t="s">
        <v>244</v>
      </c>
      <c r="F32" s="43">
        <f>INDEX(CUSTO!$F$4:$F$38,MATCH(Tabela3[[#This Row],[CARGOS]],CUSTO!$A$4:$A$38,0))</f>
        <v>5613.57</v>
      </c>
      <c r="G32" s="43">
        <v>1</v>
      </c>
    </row>
    <row r="33" spans="1:7">
      <c r="A33" s="43" t="s">
        <v>102</v>
      </c>
      <c r="B33" s="77" t="s">
        <v>23</v>
      </c>
      <c r="C33" s="43" t="s">
        <v>76</v>
      </c>
      <c r="D33" s="63" t="s">
        <v>245</v>
      </c>
      <c r="E33" s="41" t="s">
        <v>246</v>
      </c>
      <c r="F33" s="43">
        <f>INDEX(CUSTO!$F$4:$F$38,MATCH(Tabela3[[#This Row],[CARGOS]],CUSTO!$A$4:$A$38,0))</f>
        <v>7159.57</v>
      </c>
      <c r="G33" s="43">
        <v>1</v>
      </c>
    </row>
    <row r="34" spans="1:7">
      <c r="A34" s="43" t="s">
        <v>102</v>
      </c>
      <c r="B34" s="41" t="s">
        <v>247</v>
      </c>
      <c r="C34" s="43" t="s">
        <v>82</v>
      </c>
      <c r="D34" s="63" t="s">
        <v>248</v>
      </c>
      <c r="E34" s="41" t="s">
        <v>249</v>
      </c>
      <c r="F34" s="43">
        <f>INDEX(CUSTO!$F$4:$F$38,MATCH(Tabela3[[#This Row],[CARGOS]],CUSTO!$A$4:$A$38,0))</f>
        <v>4787.59</v>
      </c>
      <c r="G34" s="43">
        <v>5</v>
      </c>
    </row>
    <row r="35" spans="1:7">
      <c r="A35" s="43" t="s">
        <v>102</v>
      </c>
      <c r="B35" s="41" t="s">
        <v>105</v>
      </c>
      <c r="C35" s="43" t="s">
        <v>76</v>
      </c>
      <c r="D35" s="63" t="s">
        <v>250</v>
      </c>
      <c r="E35" s="41" t="s">
        <v>251</v>
      </c>
      <c r="F35" s="43">
        <f>INDEX(CUSTO!$F$4:$F$38,MATCH(Tabela3[[#This Row],[CARGOS]],CUSTO!$A$4:$A$38,0))</f>
        <v>7159.57</v>
      </c>
      <c r="G35" s="43">
        <v>1</v>
      </c>
    </row>
    <row r="36" spans="1:7">
      <c r="A36" s="43" t="s">
        <v>102</v>
      </c>
      <c r="B36" s="41" t="s">
        <v>21</v>
      </c>
      <c r="C36" s="43" t="s">
        <v>82</v>
      </c>
      <c r="D36" s="63" t="s">
        <v>152</v>
      </c>
      <c r="E36" s="41" t="s">
        <v>252</v>
      </c>
      <c r="F36" s="43">
        <f>INDEX(CUSTO!$F$4:$F$38,MATCH(Tabela3[[#This Row],[CARGOS]],CUSTO!$A$4:$A$38,0))</f>
        <v>4787.59</v>
      </c>
      <c r="G36" s="43">
        <v>1</v>
      </c>
    </row>
    <row r="37" spans="1:7">
      <c r="A37" s="43" t="s">
        <v>102</v>
      </c>
      <c r="B37" s="41" t="s">
        <v>20</v>
      </c>
      <c r="C37" s="43" t="s">
        <v>76</v>
      </c>
      <c r="D37" s="63" t="s">
        <v>253</v>
      </c>
      <c r="E37" s="41" t="s">
        <v>254</v>
      </c>
      <c r="F37" s="43">
        <f>INDEX(CUSTO!$F$4:$F$38,MATCH(Tabela3[[#This Row],[CARGOS]],CUSTO!$A$4:$A$38,0))</f>
        <v>7159.57</v>
      </c>
      <c r="G37" s="43">
        <v>1</v>
      </c>
    </row>
    <row r="38" spans="1:7">
      <c r="A38" s="43" t="s">
        <v>126</v>
      </c>
      <c r="B38" s="41" t="s">
        <v>30</v>
      </c>
      <c r="C38" s="43" t="s">
        <v>82</v>
      </c>
      <c r="D38" s="63" t="s">
        <v>255</v>
      </c>
      <c r="E38" s="41" t="s">
        <v>153</v>
      </c>
      <c r="F38" s="43">
        <f>INDEX(CUSTO!$F$4:$F$38,MATCH(Tabela3[[#This Row],[CARGOS]],CUSTO!$A$4:$A$38,0))</f>
        <v>4787.59</v>
      </c>
      <c r="G38" s="43">
        <v>6</v>
      </c>
    </row>
    <row r="39" spans="1:7">
      <c r="A39" s="43" t="s">
        <v>126</v>
      </c>
      <c r="B39" s="41" t="s">
        <v>133</v>
      </c>
      <c r="C39" s="43" t="s">
        <v>76</v>
      </c>
      <c r="D39" s="63" t="s">
        <v>256</v>
      </c>
      <c r="E39" s="41" t="s">
        <v>257</v>
      </c>
      <c r="F39" s="43">
        <f>INDEX(CUSTO!$F$4:$F$38,MATCH(Tabela3[[#This Row],[CARGOS]],CUSTO!$A$4:$A$38,0))</f>
        <v>7159.57</v>
      </c>
      <c r="G39" s="43">
        <v>2</v>
      </c>
    </row>
    <row r="40" spans="1:7">
      <c r="A40" s="43" t="s">
        <v>126</v>
      </c>
      <c r="B40" s="41" t="s">
        <v>134</v>
      </c>
      <c r="C40" s="43" t="s">
        <v>82</v>
      </c>
      <c r="D40" s="63" t="s">
        <v>258</v>
      </c>
      <c r="E40" s="41" t="s">
        <v>259</v>
      </c>
      <c r="F40" s="43">
        <f>INDEX(CUSTO!$F$4:$F$38,MATCH(Tabela3[[#This Row],[CARGOS]],CUSTO!$A$4:$A$38,0))</f>
        <v>4787.59</v>
      </c>
      <c r="G40" s="43">
        <v>6</v>
      </c>
    </row>
    <row r="41" spans="1:7">
      <c r="A41" s="43" t="s">
        <v>126</v>
      </c>
      <c r="B41" s="41" t="s">
        <v>175</v>
      </c>
      <c r="C41" s="43" t="s">
        <v>76</v>
      </c>
      <c r="D41" s="76" t="s">
        <v>260</v>
      </c>
      <c r="E41" s="41" t="s">
        <v>261</v>
      </c>
      <c r="F41" s="43">
        <f>INDEX(CUSTO!$F$4:$F$38,MATCH(Tabela3[[#This Row],[CARGOS]],CUSTO!$A$4:$A$38,0))</f>
        <v>7676.6299999999992</v>
      </c>
      <c r="G41" s="43">
        <v>8</v>
      </c>
    </row>
    <row r="42" spans="1:7">
      <c r="A42" s="43" t="s">
        <v>126</v>
      </c>
      <c r="B42" s="41" t="s">
        <v>175</v>
      </c>
      <c r="C42" s="43" t="s">
        <v>76</v>
      </c>
      <c r="D42" s="63" t="s">
        <v>262</v>
      </c>
      <c r="E42" s="41" t="s">
        <v>263</v>
      </c>
      <c r="F42" s="43">
        <f>INDEX(CUSTO!$F$4:$F$38,MATCH(Tabela3[[#This Row],[CARGOS]],CUSTO!$A$4:$A$38,0))</f>
        <v>7676.6299999999992</v>
      </c>
      <c r="G42" s="43">
        <v>1</v>
      </c>
    </row>
    <row r="43" spans="1:7">
      <c r="A43" s="43" t="s">
        <v>126</v>
      </c>
      <c r="B43" s="41" t="s">
        <v>175</v>
      </c>
      <c r="C43" s="43" t="s">
        <v>76</v>
      </c>
      <c r="D43" s="63" t="s">
        <v>264</v>
      </c>
      <c r="E43" s="41" t="s">
        <v>136</v>
      </c>
      <c r="F43" s="43">
        <f>INDEX(CUSTO!$F$4:$F$38,MATCH(Tabela3[[#This Row],[CARGOS]],CUSTO!$A$4:$A$38,0))</f>
        <v>7676.6299999999992</v>
      </c>
      <c r="G43" s="43">
        <v>1</v>
      </c>
    </row>
    <row r="44" spans="1:7">
      <c r="A44" s="43" t="s">
        <v>126</v>
      </c>
      <c r="B44" s="41" t="s">
        <v>175</v>
      </c>
      <c r="C44" s="43" t="s">
        <v>76</v>
      </c>
      <c r="D44" s="63" t="s">
        <v>265</v>
      </c>
      <c r="E44" s="41" t="s">
        <v>137</v>
      </c>
      <c r="F44" s="43">
        <f>INDEX(CUSTO!$F$4:$F$38,MATCH(Tabela3[[#This Row],[CARGOS]],CUSTO!$A$4:$A$38,0))</f>
        <v>7676.6299999999992</v>
      </c>
      <c r="G44" s="43">
        <v>1</v>
      </c>
    </row>
    <row r="45" spans="1:7">
      <c r="A45" s="43" t="s">
        <v>126</v>
      </c>
      <c r="B45" s="41" t="s">
        <v>175</v>
      </c>
      <c r="C45" s="43" t="s">
        <v>76</v>
      </c>
      <c r="D45" s="76" t="s">
        <v>266</v>
      </c>
      <c r="E45" s="41" t="s">
        <v>138</v>
      </c>
      <c r="F45" s="43">
        <f>INDEX(CUSTO!$F$4:$F$38,MATCH(Tabela3[[#This Row],[CARGOS]],CUSTO!$A$4:$A$38,0))</f>
        <v>7676.6299999999992</v>
      </c>
      <c r="G45" s="43">
        <v>1</v>
      </c>
    </row>
    <row r="46" spans="1:7">
      <c r="A46" s="43" t="s">
        <v>126</v>
      </c>
      <c r="B46" s="41" t="s">
        <v>175</v>
      </c>
      <c r="C46" s="43" t="s">
        <v>76</v>
      </c>
      <c r="D46" s="63" t="s">
        <v>267</v>
      </c>
      <c r="E46" s="41" t="s">
        <v>154</v>
      </c>
      <c r="F46" s="43">
        <f>INDEX(CUSTO!$F$4:$F$38,MATCH(Tabela3[[#This Row],[CARGOS]],CUSTO!$A$4:$A$38,0))</f>
        <v>7676.6299999999992</v>
      </c>
      <c r="G46" s="43">
        <v>1</v>
      </c>
    </row>
    <row r="47" spans="1:7">
      <c r="A47" s="43" t="s">
        <v>126</v>
      </c>
      <c r="B47" s="41" t="s">
        <v>175</v>
      </c>
      <c r="C47" s="43" t="s">
        <v>76</v>
      </c>
      <c r="D47" s="63" t="s">
        <v>268</v>
      </c>
      <c r="E47" s="41" t="s">
        <v>155</v>
      </c>
      <c r="F47" s="43">
        <f>INDEX(CUSTO!$F$4:$F$38,MATCH(Tabela3[[#This Row],[CARGOS]],CUSTO!$A$4:$A$38,0))</f>
        <v>7676.6299999999992</v>
      </c>
      <c r="G47" s="43">
        <v>2</v>
      </c>
    </row>
    <row r="48" spans="1:7">
      <c r="A48" s="43" t="s">
        <v>126</v>
      </c>
      <c r="B48" s="41" t="s">
        <v>175</v>
      </c>
      <c r="C48" s="43" t="s">
        <v>76</v>
      </c>
      <c r="D48" s="63" t="s">
        <v>269</v>
      </c>
      <c r="E48" s="41" t="s">
        <v>270</v>
      </c>
      <c r="F48" s="43">
        <f>INDEX(CUSTO!$F$4:$F$38,MATCH(Tabela3[[#This Row],[CARGOS]],CUSTO!$A$4:$A$38,0))</f>
        <v>7676.6299999999992</v>
      </c>
      <c r="G48" s="43">
        <v>2</v>
      </c>
    </row>
    <row r="49" spans="1:7">
      <c r="A49" s="43" t="s">
        <v>126</v>
      </c>
      <c r="B49" s="41" t="s">
        <v>175</v>
      </c>
      <c r="C49" s="43" t="s">
        <v>76</v>
      </c>
      <c r="D49" s="63" t="s">
        <v>271</v>
      </c>
      <c r="E49" s="41" t="s">
        <v>272</v>
      </c>
      <c r="F49" s="43">
        <f>INDEX(CUSTO!$F$4:$F$38,MATCH(Tabela3[[#This Row],[CARGOS]],CUSTO!$A$4:$A$38,0))</f>
        <v>7676.6299999999992</v>
      </c>
      <c r="G49" s="43">
        <v>1</v>
      </c>
    </row>
    <row r="50" spans="1:7">
      <c r="A50" s="43" t="s">
        <v>126</v>
      </c>
      <c r="B50" s="41" t="s">
        <v>105</v>
      </c>
      <c r="C50" s="43" t="s">
        <v>76</v>
      </c>
      <c r="D50" s="63" t="s">
        <v>273</v>
      </c>
      <c r="E50" s="41" t="s">
        <v>274</v>
      </c>
      <c r="F50" s="43">
        <f>INDEX(CUSTO!$F$4:$F$38,MATCH(Tabela3[[#This Row],[CARGOS]],CUSTO!$A$4:$A$38,0))</f>
        <v>7159.57</v>
      </c>
      <c r="G50" s="43">
        <v>6</v>
      </c>
    </row>
    <row r="51" spans="1:7">
      <c r="A51" s="43" t="s">
        <v>104</v>
      </c>
      <c r="B51" s="41" t="s">
        <v>24</v>
      </c>
      <c r="C51" s="43" t="s">
        <v>76</v>
      </c>
      <c r="D51" s="63" t="s">
        <v>275</v>
      </c>
      <c r="E51" s="41" t="s">
        <v>276</v>
      </c>
      <c r="F51" s="43">
        <f>INDEX(CUSTO!$F$4:$F$38,MATCH(Tabela3[[#This Row],[CARGOS]],CUSTO!$A$4:$A$38,0))</f>
        <v>7159.57</v>
      </c>
      <c r="G51" s="43">
        <v>6</v>
      </c>
    </row>
    <row r="52" spans="1:7">
      <c r="A52" s="43" t="s">
        <v>104</v>
      </c>
      <c r="B52" s="41" t="s">
        <v>110</v>
      </c>
      <c r="C52" s="43" t="s">
        <v>76</v>
      </c>
      <c r="D52" s="63" t="s">
        <v>277</v>
      </c>
      <c r="E52" s="41" t="s">
        <v>278</v>
      </c>
      <c r="F52" s="43">
        <f>INDEX(CUSTO!$F$4:$F$38,MATCH(Tabela3[[#This Row],[CARGOS]],CUSTO!$A$4:$A$38,0))</f>
        <v>7159.57</v>
      </c>
      <c r="G52" s="43">
        <v>2</v>
      </c>
    </row>
    <row r="53" spans="1:7">
      <c r="A53" s="43" t="s">
        <v>104</v>
      </c>
      <c r="B53" s="41" t="s">
        <v>14</v>
      </c>
      <c r="C53" s="43" t="s">
        <v>76</v>
      </c>
      <c r="D53" s="63" t="s">
        <v>279</v>
      </c>
      <c r="E53" s="41" t="s">
        <v>280</v>
      </c>
      <c r="F53" s="43">
        <f>INDEX(CUSTO!$F$4:$F$38,MATCH(Tabela3[[#This Row],[CARGOS]],CUSTO!$A$4:$A$38,0))</f>
        <v>7159.57</v>
      </c>
      <c r="G53" s="43">
        <v>1</v>
      </c>
    </row>
    <row r="54" spans="1:7">
      <c r="A54" s="43" t="s">
        <v>104</v>
      </c>
      <c r="B54" s="41" t="s">
        <v>124</v>
      </c>
      <c r="C54" s="43" t="s">
        <v>76</v>
      </c>
      <c r="D54" s="63" t="s">
        <v>281</v>
      </c>
      <c r="E54" s="41" t="s">
        <v>282</v>
      </c>
      <c r="F54" s="43">
        <f>INDEX(CUSTO!$F$4:$F$38,MATCH(Tabela3[[#This Row],[CARGOS]],CUSTO!$A$4:$A$38,0))</f>
        <v>7159.57</v>
      </c>
      <c r="G54" s="43">
        <v>2</v>
      </c>
    </row>
    <row r="55" spans="1:7">
      <c r="A55" s="43" t="s">
        <v>104</v>
      </c>
      <c r="B55" s="41" t="s">
        <v>115</v>
      </c>
      <c r="C55" s="43" t="s">
        <v>76</v>
      </c>
      <c r="D55" s="63" t="s">
        <v>283</v>
      </c>
      <c r="E55" s="41" t="s">
        <v>284</v>
      </c>
      <c r="F55" s="43">
        <f>INDEX(CUSTO!$F$4:$F$38,MATCH(Tabela3[[#This Row],[CARGOS]],CUSTO!$A$4:$A$38,0))</f>
        <v>10396.5</v>
      </c>
      <c r="G55" s="43">
        <v>1</v>
      </c>
    </row>
    <row r="56" spans="1:7">
      <c r="A56" s="43" t="s">
        <v>104</v>
      </c>
      <c r="B56" s="41" t="s">
        <v>112</v>
      </c>
      <c r="C56" s="43" t="s">
        <v>76</v>
      </c>
      <c r="D56" s="63" t="s">
        <v>285</v>
      </c>
      <c r="E56" s="41" t="s">
        <v>286</v>
      </c>
      <c r="F56" s="43">
        <f>INDEX(CUSTO!$F$4:$F$38,MATCH(Tabela3[[#This Row],[CARGOS]],CUSTO!$A$4:$A$38,0))</f>
        <v>7159.57</v>
      </c>
      <c r="G56" s="43">
        <v>1</v>
      </c>
    </row>
    <row r="57" spans="1:7">
      <c r="A57" s="43" t="s">
        <v>104</v>
      </c>
      <c r="B57" s="41" t="s">
        <v>111</v>
      </c>
      <c r="C57" s="43" t="s">
        <v>76</v>
      </c>
      <c r="D57" s="63" t="s">
        <v>287</v>
      </c>
      <c r="E57" s="41" t="s">
        <v>288</v>
      </c>
      <c r="F57" s="43">
        <f>INDEX(CUSTO!$F$4:$F$38,MATCH(Tabela3[[#This Row],[CARGOS]],CUSTO!$A$4:$A$38,0))</f>
        <v>7159.57</v>
      </c>
      <c r="G57" s="43">
        <v>3</v>
      </c>
    </row>
    <row r="58" spans="1:7">
      <c r="A58" s="43" t="s">
        <v>104</v>
      </c>
      <c r="B58" s="41" t="s">
        <v>11</v>
      </c>
      <c r="C58" s="43" t="s">
        <v>76</v>
      </c>
      <c r="D58" s="63" t="s">
        <v>289</v>
      </c>
      <c r="E58" s="41" t="s">
        <v>290</v>
      </c>
      <c r="F58" s="43">
        <f>INDEX(CUSTO!$F$4:$F$38,MATCH(Tabela3[[#This Row],[CARGOS]],CUSTO!$A$4:$A$38,0))</f>
        <v>7159.57</v>
      </c>
      <c r="G58" s="43">
        <v>1</v>
      </c>
    </row>
    <row r="59" spans="1:7">
      <c r="A59" s="43" t="s">
        <v>104</v>
      </c>
      <c r="B59" s="41" t="s">
        <v>22</v>
      </c>
      <c r="C59" s="43" t="s">
        <v>76</v>
      </c>
      <c r="D59" s="63" t="s">
        <v>291</v>
      </c>
      <c r="E59" s="41" t="s">
        <v>292</v>
      </c>
      <c r="F59" s="43">
        <f>INDEX(CUSTO!$F$4:$F$38,MATCH(Tabela3[[#This Row],[CARGOS]],CUSTO!$A$4:$A$38,0))</f>
        <v>7159.57</v>
      </c>
      <c r="G59" s="43">
        <v>3</v>
      </c>
    </row>
    <row r="60" spans="1:7">
      <c r="A60" s="43" t="s">
        <v>104</v>
      </c>
      <c r="B60" s="41" t="s">
        <v>117</v>
      </c>
      <c r="C60" s="43" t="s">
        <v>76</v>
      </c>
      <c r="D60" s="63" t="s">
        <v>293</v>
      </c>
      <c r="E60" s="41" t="s">
        <v>294</v>
      </c>
      <c r="F60" s="43">
        <f>INDEX(CUSTO!$F$4:$F$38,MATCH(Tabela3[[#This Row],[CARGOS]],CUSTO!$A$4:$A$38,0))</f>
        <v>7159.57</v>
      </c>
      <c r="G60" s="43">
        <v>4</v>
      </c>
    </row>
    <row r="61" spans="1:7">
      <c r="A61" s="43" t="s">
        <v>104</v>
      </c>
      <c r="B61" s="41" t="s">
        <v>25</v>
      </c>
      <c r="C61" s="43" t="s">
        <v>76</v>
      </c>
      <c r="D61" s="63" t="s">
        <v>295</v>
      </c>
      <c r="E61" s="41" t="s">
        <v>296</v>
      </c>
      <c r="F61" s="43">
        <f>INDEX(CUSTO!$F$4:$F$38,MATCH(Tabela3[[#This Row],[CARGOS]],CUSTO!$A$4:$A$38,0))</f>
        <v>10396.5</v>
      </c>
      <c r="G61" s="43">
        <v>1</v>
      </c>
    </row>
    <row r="62" spans="1:7">
      <c r="A62" s="43" t="s">
        <v>104</v>
      </c>
      <c r="B62" s="41" t="s">
        <v>116</v>
      </c>
      <c r="C62" s="43" t="s">
        <v>76</v>
      </c>
      <c r="D62" s="63" t="s">
        <v>297</v>
      </c>
      <c r="E62" s="41" t="s">
        <v>298</v>
      </c>
      <c r="F62" s="43">
        <f>INDEX(CUSTO!$F$4:$F$38,MATCH(Tabela3[[#This Row],[CARGOS]],CUSTO!$A$4:$A$38,0))</f>
        <v>10396.5</v>
      </c>
      <c r="G62" s="43">
        <v>1</v>
      </c>
    </row>
    <row r="63" spans="1:7">
      <c r="A63" s="43" t="s">
        <v>104</v>
      </c>
      <c r="B63" s="41" t="s">
        <v>26</v>
      </c>
      <c r="C63" s="43" t="s">
        <v>76</v>
      </c>
      <c r="D63" s="63" t="s">
        <v>299</v>
      </c>
      <c r="E63" s="41" t="s">
        <v>300</v>
      </c>
      <c r="F63" s="43">
        <f>INDEX(CUSTO!$F$4:$F$38,MATCH(Tabela3[[#This Row],[CARGOS]],CUSTO!$A$4:$A$38,0))</f>
        <v>10396.5</v>
      </c>
      <c r="G63" s="43">
        <v>1</v>
      </c>
    </row>
    <row r="64" spans="1:7">
      <c r="A64" s="43" t="s">
        <v>104</v>
      </c>
      <c r="B64" s="41" t="s">
        <v>109</v>
      </c>
      <c r="C64" s="43" t="s">
        <v>76</v>
      </c>
      <c r="D64" s="63" t="s">
        <v>301</v>
      </c>
      <c r="E64" s="41" t="s">
        <v>302</v>
      </c>
      <c r="F64" s="43">
        <f>INDEX(CUSTO!$F$4:$F$38,MATCH(Tabela3[[#This Row],[CARGOS]],CUSTO!$A$4:$A$38,0))</f>
        <v>10396.5</v>
      </c>
      <c r="G64" s="43">
        <v>2</v>
      </c>
    </row>
    <row r="65" spans="1:7">
      <c r="A65" s="43" t="s">
        <v>104</v>
      </c>
      <c r="B65" s="41" t="s">
        <v>121</v>
      </c>
      <c r="C65" s="43" t="s">
        <v>76</v>
      </c>
      <c r="D65" s="63" t="s">
        <v>303</v>
      </c>
      <c r="E65" s="41" t="s">
        <v>304</v>
      </c>
      <c r="F65" s="43">
        <f>INDEX(CUSTO!$F$4:$F$38,MATCH(Tabela3[[#This Row],[CARGOS]],CUSTO!$A$4:$A$38,0))</f>
        <v>7159.57</v>
      </c>
      <c r="G65" s="43">
        <v>2</v>
      </c>
    </row>
    <row r="66" spans="1:7">
      <c r="A66" s="43" t="s">
        <v>104</v>
      </c>
      <c r="B66" s="41" t="s">
        <v>118</v>
      </c>
      <c r="C66" s="43" t="s">
        <v>76</v>
      </c>
      <c r="D66" s="63" t="s">
        <v>305</v>
      </c>
      <c r="E66" s="41" t="s">
        <v>306</v>
      </c>
      <c r="F66" s="43">
        <f>INDEX(CUSTO!$F$4:$F$38,MATCH(Tabela3[[#This Row],[CARGOS]],CUSTO!$A$4:$A$38,0))</f>
        <v>7159.57</v>
      </c>
      <c r="G66" s="43">
        <v>2</v>
      </c>
    </row>
    <row r="67" spans="1:7">
      <c r="A67" s="43" t="s">
        <v>104</v>
      </c>
      <c r="B67" s="41" t="s">
        <v>119</v>
      </c>
      <c r="C67" s="43" t="s">
        <v>76</v>
      </c>
      <c r="D67" s="63" t="s">
        <v>307</v>
      </c>
      <c r="E67" s="41" t="s">
        <v>308</v>
      </c>
      <c r="F67" s="43">
        <f>INDEX(CUSTO!$F$4:$F$38,MATCH(Tabela3[[#This Row],[CARGOS]],CUSTO!$A$4:$A$38,0))</f>
        <v>7159.57</v>
      </c>
      <c r="G67" s="43">
        <v>1</v>
      </c>
    </row>
    <row r="68" spans="1:7">
      <c r="A68" s="43" t="s">
        <v>104</v>
      </c>
      <c r="B68" s="41" t="s">
        <v>361</v>
      </c>
      <c r="C68" s="43" t="s">
        <v>76</v>
      </c>
      <c r="D68" s="63" t="s">
        <v>173</v>
      </c>
      <c r="E68" s="41" t="s">
        <v>309</v>
      </c>
      <c r="F68" s="43">
        <f>INDEX(CUSTO!$F$4:$F$38,MATCH(Tabela3[[#This Row],[CARGOS]],CUSTO!$A$4:$A$38,0))</f>
        <v>5613.57</v>
      </c>
      <c r="G68" s="43">
        <v>1</v>
      </c>
    </row>
    <row r="69" spans="1:7">
      <c r="A69" s="43" t="s">
        <v>104</v>
      </c>
      <c r="B69" s="41" t="s">
        <v>361</v>
      </c>
      <c r="C69" s="43" t="s">
        <v>76</v>
      </c>
      <c r="D69" s="63" t="s">
        <v>310</v>
      </c>
      <c r="E69" s="41" t="s">
        <v>311</v>
      </c>
      <c r="F69" s="43">
        <f>INDEX(CUSTO!$F$4:$F$38,MATCH(Tabela3[[#This Row],[CARGOS]],CUSTO!$A$4:$A$38,0))</f>
        <v>5613.57</v>
      </c>
      <c r="G69" s="43">
        <v>1</v>
      </c>
    </row>
    <row r="70" spans="1:7">
      <c r="A70" s="43" t="s">
        <v>104</v>
      </c>
      <c r="B70" s="41" t="s">
        <v>120</v>
      </c>
      <c r="C70" s="43" t="s">
        <v>76</v>
      </c>
      <c r="D70" s="63" t="s">
        <v>312</v>
      </c>
      <c r="E70" s="41" t="s">
        <v>313</v>
      </c>
      <c r="F70" s="43">
        <f>INDEX(CUSTO!$F$4:$F$38,MATCH(Tabela3[[#This Row],[CARGOS]],CUSTO!$A$4:$A$38,0))</f>
        <v>7159.57</v>
      </c>
      <c r="G70" s="43">
        <v>1</v>
      </c>
    </row>
    <row r="71" spans="1:7">
      <c r="A71" s="43" t="s">
        <v>104</v>
      </c>
      <c r="B71" s="41" t="s">
        <v>12</v>
      </c>
      <c r="C71" s="43" t="s">
        <v>76</v>
      </c>
      <c r="D71" s="63" t="s">
        <v>113</v>
      </c>
      <c r="E71" s="41" t="s">
        <v>314</v>
      </c>
      <c r="F71" s="43">
        <f>INDEX(CUSTO!$F$4:$F$38,MATCH(Tabela3[[#This Row],[CARGOS]],CUSTO!$A$4:$A$38,0))</f>
        <v>7159.57</v>
      </c>
      <c r="G71" s="43">
        <v>1</v>
      </c>
    </row>
    <row r="72" spans="1:7">
      <c r="A72" s="43" t="s">
        <v>104</v>
      </c>
      <c r="B72" s="41" t="s">
        <v>12</v>
      </c>
      <c r="C72" s="43" t="s">
        <v>76</v>
      </c>
      <c r="D72" s="63" t="s">
        <v>114</v>
      </c>
      <c r="E72" s="41" t="s">
        <v>315</v>
      </c>
      <c r="F72" s="43">
        <f>INDEX(CUSTO!$F$4:$F$38,MATCH(Tabela3[[#This Row],[CARGOS]],CUSTO!$A$4:$A$38,0))</f>
        <v>7159.57</v>
      </c>
      <c r="G72" s="43">
        <v>1</v>
      </c>
    </row>
    <row r="73" spans="1:7">
      <c r="A73" s="43" t="s">
        <v>104</v>
      </c>
      <c r="B73" s="41" t="s">
        <v>23</v>
      </c>
      <c r="C73" s="43" t="s">
        <v>76</v>
      </c>
      <c r="D73" s="63" t="s">
        <v>316</v>
      </c>
      <c r="E73" s="41" t="s">
        <v>317</v>
      </c>
      <c r="F73" s="43">
        <f>INDEX(CUSTO!$F$4:$F$38,MATCH(Tabela3[[#This Row],[CARGOS]],CUSTO!$A$4:$A$38,0))</f>
        <v>7159.57</v>
      </c>
      <c r="G73" s="43">
        <v>3</v>
      </c>
    </row>
    <row r="74" spans="1:7">
      <c r="A74" s="43" t="s">
        <v>104</v>
      </c>
      <c r="B74" s="41" t="s">
        <v>175</v>
      </c>
      <c r="C74" s="43" t="s">
        <v>76</v>
      </c>
      <c r="D74" s="63" t="s">
        <v>339</v>
      </c>
      <c r="E74" s="41" t="s">
        <v>318</v>
      </c>
      <c r="F74" s="43">
        <f>INDEX(CUSTO!$F$4:$F$38,MATCH(Tabela3[[#This Row],[CARGOS]],CUSTO!$A$4:$A$38,0))</f>
        <v>7676.6299999999992</v>
      </c>
      <c r="G74" s="43">
        <v>6</v>
      </c>
    </row>
    <row r="75" spans="1:7">
      <c r="A75" s="43" t="s">
        <v>104</v>
      </c>
      <c r="B75" s="41" t="s">
        <v>175</v>
      </c>
      <c r="C75" s="43" t="s">
        <v>76</v>
      </c>
      <c r="D75" s="63" t="s">
        <v>340</v>
      </c>
      <c r="E75" s="41" t="s">
        <v>319</v>
      </c>
      <c r="F75" s="43">
        <f>INDEX(CUSTO!$F$4:$F$38,MATCH(Tabela3[[#This Row],[CARGOS]],CUSTO!$A$4:$A$38,0))</f>
        <v>7676.6299999999992</v>
      </c>
      <c r="G75" s="43">
        <v>6</v>
      </c>
    </row>
    <row r="76" spans="1:7">
      <c r="A76" s="43" t="s">
        <v>104</v>
      </c>
      <c r="B76" s="41" t="s">
        <v>175</v>
      </c>
      <c r="C76" s="43" t="s">
        <v>76</v>
      </c>
      <c r="D76" s="63" t="s">
        <v>341</v>
      </c>
      <c r="E76" s="41" t="s">
        <v>320</v>
      </c>
      <c r="F76" s="43">
        <f>INDEX(CUSTO!$F$4:$F$38,MATCH(Tabela3[[#This Row],[CARGOS]],CUSTO!$A$4:$A$38,0))</f>
        <v>7676.6299999999992</v>
      </c>
      <c r="G76" s="43">
        <v>4</v>
      </c>
    </row>
    <row r="77" spans="1:7">
      <c r="A77" s="43" t="s">
        <v>104</v>
      </c>
      <c r="B77" s="41" t="s">
        <v>175</v>
      </c>
      <c r="C77" s="43" t="s">
        <v>76</v>
      </c>
      <c r="D77" s="63" t="s">
        <v>342</v>
      </c>
      <c r="E77" s="41" t="s">
        <v>321</v>
      </c>
      <c r="F77" s="43">
        <f>INDEX(CUSTO!$F$4:$F$38,MATCH(Tabela3[[#This Row],[CARGOS]],CUSTO!$A$4:$A$38,0))</f>
        <v>7676.6299999999992</v>
      </c>
      <c r="G77" s="43">
        <v>4</v>
      </c>
    </row>
    <row r="78" spans="1:7">
      <c r="A78" s="43" t="s">
        <v>104</v>
      </c>
      <c r="B78" s="41" t="s">
        <v>175</v>
      </c>
      <c r="C78" s="43" t="s">
        <v>76</v>
      </c>
      <c r="D78" s="63" t="s">
        <v>343</v>
      </c>
      <c r="E78" s="41" t="s">
        <v>322</v>
      </c>
      <c r="F78" s="43">
        <f>INDEX(CUSTO!$F$4:$F$38,MATCH(Tabela3[[#This Row],[CARGOS]],CUSTO!$A$4:$A$38,0))</f>
        <v>7676.6299999999992</v>
      </c>
      <c r="G78" s="43">
        <v>4</v>
      </c>
    </row>
    <row r="79" spans="1:7">
      <c r="A79" s="43" t="s">
        <v>104</v>
      </c>
      <c r="B79" s="41" t="s">
        <v>175</v>
      </c>
      <c r="C79" s="43" t="s">
        <v>76</v>
      </c>
      <c r="D79" s="63" t="s">
        <v>344</v>
      </c>
      <c r="E79" s="41" t="s">
        <v>323</v>
      </c>
      <c r="F79" s="43">
        <f>INDEX(CUSTO!$F$4:$F$38,MATCH(Tabela3[[#This Row],[CARGOS]],CUSTO!$A$4:$A$38,0))</f>
        <v>7676.6299999999992</v>
      </c>
      <c r="G79" s="43">
        <v>2</v>
      </c>
    </row>
    <row r="80" spans="1:7">
      <c r="A80" s="43" t="s">
        <v>104</v>
      </c>
      <c r="B80" s="41" t="s">
        <v>175</v>
      </c>
      <c r="C80" s="43" t="s">
        <v>76</v>
      </c>
      <c r="D80" s="63" t="s">
        <v>345</v>
      </c>
      <c r="E80" s="41" t="s">
        <v>324</v>
      </c>
      <c r="F80" s="43">
        <f>INDEX(CUSTO!$F$4:$F$38,MATCH(Tabela3[[#This Row],[CARGOS]],CUSTO!$A$4:$A$38,0))</f>
        <v>7676.6299999999992</v>
      </c>
      <c r="G80" s="43">
        <v>2</v>
      </c>
    </row>
    <row r="81" spans="1:7">
      <c r="A81" s="43" t="s">
        <v>104</v>
      </c>
      <c r="B81" s="41" t="s">
        <v>175</v>
      </c>
      <c r="C81" s="43" t="s">
        <v>76</v>
      </c>
      <c r="D81" s="63" t="s">
        <v>346</v>
      </c>
      <c r="E81" s="41" t="s">
        <v>325</v>
      </c>
      <c r="F81" s="43">
        <f>INDEX(CUSTO!$F$4:$F$38,MATCH(Tabela3[[#This Row],[CARGOS]],CUSTO!$A$4:$A$38,0))</f>
        <v>7676.6299999999992</v>
      </c>
      <c r="G81" s="43">
        <v>2</v>
      </c>
    </row>
    <row r="82" spans="1:7">
      <c r="A82" s="43" t="s">
        <v>104</v>
      </c>
      <c r="B82" s="41" t="s">
        <v>175</v>
      </c>
      <c r="C82" s="43" t="s">
        <v>76</v>
      </c>
      <c r="D82" s="63" t="s">
        <v>347</v>
      </c>
      <c r="E82" s="41" t="s">
        <v>326</v>
      </c>
      <c r="F82" s="43">
        <f>INDEX(CUSTO!$F$4:$F$38,MATCH(Tabela3[[#This Row],[CARGOS]],CUSTO!$A$4:$A$38,0))</f>
        <v>7676.6299999999992</v>
      </c>
      <c r="G82" s="43">
        <v>2</v>
      </c>
    </row>
    <row r="83" spans="1:7">
      <c r="A83" s="43" t="s">
        <v>104</v>
      </c>
      <c r="B83" s="41" t="s">
        <v>106</v>
      </c>
      <c r="C83" s="43" t="s">
        <v>76</v>
      </c>
      <c r="D83" s="63" t="s">
        <v>107</v>
      </c>
      <c r="E83" s="41" t="s">
        <v>327</v>
      </c>
      <c r="F83" s="43">
        <f>INDEX(CUSTO!$F$4:$F$38,MATCH(Tabela3[[#This Row],[CARGOS]],CUSTO!$A$4:$A$38,0))</f>
        <v>7159.57</v>
      </c>
      <c r="G83" s="43">
        <v>2</v>
      </c>
    </row>
    <row r="84" spans="1:7">
      <c r="A84" s="43" t="s">
        <v>104</v>
      </c>
      <c r="B84" s="41" t="s">
        <v>106</v>
      </c>
      <c r="C84" s="43" t="s">
        <v>76</v>
      </c>
      <c r="D84" s="63" t="s">
        <v>108</v>
      </c>
      <c r="E84" s="41" t="s">
        <v>328</v>
      </c>
      <c r="F84" s="43">
        <f>INDEX(CUSTO!$F$4:$F$38,MATCH(Tabela3[[#This Row],[CARGOS]],CUSTO!$A$4:$A$38,0))</f>
        <v>7159.57</v>
      </c>
      <c r="G84" s="43">
        <v>1</v>
      </c>
    </row>
    <row r="85" spans="1:7">
      <c r="A85" s="43" t="s">
        <v>104</v>
      </c>
      <c r="B85" s="41" t="s">
        <v>122</v>
      </c>
      <c r="C85" s="43" t="s">
        <v>82</v>
      </c>
      <c r="D85" s="63" t="s">
        <v>329</v>
      </c>
      <c r="E85" s="41" t="s">
        <v>330</v>
      </c>
      <c r="F85" s="43">
        <f>INDEX(CUSTO!$F$4:$F$38,MATCH(Tabela3[[#This Row],[CARGOS]],CUSTO!$A$4:$A$38,0))</f>
        <v>4787.59</v>
      </c>
      <c r="G85" s="43">
        <v>2</v>
      </c>
    </row>
    <row r="86" spans="1:7">
      <c r="A86" s="43" t="s">
        <v>104</v>
      </c>
      <c r="B86" s="41" t="s">
        <v>105</v>
      </c>
      <c r="C86" s="43" t="s">
        <v>76</v>
      </c>
      <c r="D86" s="63" t="s">
        <v>331</v>
      </c>
      <c r="E86" s="41" t="s">
        <v>251</v>
      </c>
      <c r="F86" s="43">
        <f>INDEX(CUSTO!$F$4:$F$38,MATCH(Tabela3[[#This Row],[CARGOS]],CUSTO!$A$4:$A$38,0))</f>
        <v>7159.57</v>
      </c>
      <c r="G86" s="43">
        <v>2</v>
      </c>
    </row>
    <row r="87" spans="1:7">
      <c r="A87" s="43" t="s">
        <v>104</v>
      </c>
      <c r="B87" s="41" t="s">
        <v>430</v>
      </c>
      <c r="C87" s="43" t="s">
        <v>76</v>
      </c>
      <c r="D87" s="63" t="s">
        <v>332</v>
      </c>
      <c r="E87" s="41" t="s">
        <v>333</v>
      </c>
      <c r="F87" s="43">
        <f>INDEX(CUSTO!$F$4:$F$38,MATCH(Tabela3[[#This Row],[CARGOS]],CUSTO!$A$4:$A$38,0))</f>
        <v>7159.57</v>
      </c>
      <c r="G87" s="43">
        <v>2</v>
      </c>
    </row>
    <row r="88" spans="1:7">
      <c r="A88" s="43" t="s">
        <v>104</v>
      </c>
      <c r="B88" s="41" t="s">
        <v>123</v>
      </c>
      <c r="C88" s="43" t="s">
        <v>82</v>
      </c>
      <c r="D88" s="63" t="s">
        <v>334</v>
      </c>
      <c r="E88" s="41" t="s">
        <v>335</v>
      </c>
      <c r="F88" s="43">
        <f>INDEX(CUSTO!$F$4:$F$38,MATCH(Tabela3[[#This Row],[CARGOS]],CUSTO!$A$4:$A$38,0))</f>
        <v>4787.59</v>
      </c>
      <c r="G88" s="43">
        <v>5</v>
      </c>
    </row>
    <row r="89" spans="1:7">
      <c r="A89" s="43" t="s">
        <v>104</v>
      </c>
      <c r="B89" s="41" t="s">
        <v>21</v>
      </c>
      <c r="C89" s="43" t="s">
        <v>82</v>
      </c>
      <c r="D89" s="63" t="s">
        <v>336</v>
      </c>
      <c r="E89" s="41" t="s">
        <v>337</v>
      </c>
      <c r="F89" s="43">
        <f>INDEX(CUSTO!$F$4:$F$38,MATCH(Tabela3[[#This Row],[CARGOS]],CUSTO!$A$4:$A$38,0))</f>
        <v>4787.59</v>
      </c>
      <c r="G89" s="43">
        <v>2</v>
      </c>
    </row>
    <row r="90" spans="1:7">
      <c r="A90" s="43" t="s">
        <v>104</v>
      </c>
      <c r="B90" s="41" t="s">
        <v>20</v>
      </c>
      <c r="C90" s="43" t="s">
        <v>76</v>
      </c>
      <c r="D90" s="63" t="s">
        <v>338</v>
      </c>
      <c r="E90" s="41" t="s">
        <v>151</v>
      </c>
      <c r="F90" s="43">
        <f>INDEX(CUSTO!$F$4:$F$38,MATCH(Tabela3[[#This Row],[CARGOS]],CUSTO!$A$4:$A$38,0))</f>
        <v>7159.57</v>
      </c>
      <c r="G90" s="43">
        <v>1</v>
      </c>
    </row>
    <row r="91" spans="1:7">
      <c r="A91" s="43" t="s">
        <v>172</v>
      </c>
      <c r="B91" s="41" t="s">
        <v>175</v>
      </c>
      <c r="C91" s="43" t="s">
        <v>76</v>
      </c>
      <c r="D91" s="63" t="s">
        <v>156</v>
      </c>
      <c r="E91" s="41" t="s">
        <v>157</v>
      </c>
      <c r="F91" s="43">
        <f>INDEX(CUSTO!$F$4:$F$38,MATCH(Tabela3[[#This Row],[CARGOS]],CUSTO!$A$4:$A$38,0))</f>
        <v>7676.6299999999992</v>
      </c>
      <c r="G91" s="43">
        <v>1</v>
      </c>
    </row>
    <row r="92" spans="1:7" ht="15" thickBot="1">
      <c r="A92" s="43" t="s">
        <v>172</v>
      </c>
      <c r="B92" s="41" t="s">
        <v>175</v>
      </c>
      <c r="C92" s="43" t="s">
        <v>76</v>
      </c>
      <c r="D92" s="63" t="s">
        <v>158</v>
      </c>
      <c r="E92" s="41" t="s">
        <v>159</v>
      </c>
      <c r="F92" s="43">
        <f>INDEX(CUSTO!$F$4:$F$38,MATCH(Tabela3[[#This Row],[CARGOS]],CUSTO!$A$4:$A$38,0))</f>
        <v>7676.6299999999992</v>
      </c>
      <c r="G92" s="43">
        <v>1</v>
      </c>
    </row>
    <row r="93" spans="1:7" ht="15" thickBot="1">
      <c r="A93" s="43" t="s">
        <v>172</v>
      </c>
      <c r="B93" s="41" t="s">
        <v>175</v>
      </c>
      <c r="C93" s="43" t="s">
        <v>76</v>
      </c>
      <c r="D93" s="63" t="s">
        <v>149</v>
      </c>
      <c r="E93" s="41" t="s">
        <v>160</v>
      </c>
      <c r="F93" s="79">
        <f>INDEX(CUSTO!$F$4:$F$38,MATCH(Tabela3[[#This Row],[CARGOS]],CUSTO!$A$4:$A$38,0))</f>
        <v>7676.6299999999992</v>
      </c>
      <c r="G93" s="43">
        <v>1</v>
      </c>
    </row>
    <row r="94" spans="1:7">
      <c r="A94" s="43" t="s">
        <v>172</v>
      </c>
      <c r="B94" s="41" t="s">
        <v>175</v>
      </c>
      <c r="C94" s="43" t="s">
        <v>76</v>
      </c>
      <c r="D94" s="63" t="s">
        <v>161</v>
      </c>
      <c r="E94" s="41" t="s">
        <v>162</v>
      </c>
      <c r="F94" s="43">
        <f>INDEX(CUSTO!$F$4:$F$38,MATCH(Tabela3[[#This Row],[CARGOS]],CUSTO!$A$4:$A$38,0))</f>
        <v>7676.6299999999992</v>
      </c>
      <c r="G94" s="43">
        <v>1</v>
      </c>
    </row>
    <row r="95" spans="1:7">
      <c r="A95" s="43" t="s">
        <v>172</v>
      </c>
      <c r="B95" s="62" t="s">
        <v>111</v>
      </c>
      <c r="C95" s="43" t="s">
        <v>76</v>
      </c>
      <c r="D95" s="64" t="s">
        <v>163</v>
      </c>
      <c r="E95" s="62" t="s">
        <v>164</v>
      </c>
      <c r="F95" s="61">
        <f>INDEX(CUSTO!$F$4:$F$38,MATCH(Tabela3[[#This Row],[CARGOS]],CUSTO!$A$4:$A$38,0))</f>
        <v>7159.57</v>
      </c>
      <c r="G95" s="61">
        <v>1</v>
      </c>
    </row>
    <row r="96" spans="1:7">
      <c r="A96" s="43" t="s">
        <v>172</v>
      </c>
      <c r="B96" s="41" t="s">
        <v>106</v>
      </c>
      <c r="C96" s="43" t="s">
        <v>76</v>
      </c>
      <c r="D96" s="63" t="s">
        <v>165</v>
      </c>
      <c r="E96" s="41" t="s">
        <v>166</v>
      </c>
      <c r="F96" s="43">
        <f>INDEX(CUSTO!$F$4:$F$38,MATCH(Tabela3[[#This Row],[CARGOS]],CUSTO!$A$4:$A$38,0))</f>
        <v>7159.57</v>
      </c>
      <c r="G96" s="43">
        <v>1</v>
      </c>
    </row>
    <row r="97" spans="1:7">
      <c r="A97" s="43" t="s">
        <v>172</v>
      </c>
      <c r="B97" s="41" t="s">
        <v>11</v>
      </c>
      <c r="C97" s="43" t="s">
        <v>76</v>
      </c>
      <c r="D97" s="63" t="s">
        <v>167</v>
      </c>
      <c r="E97" s="41" t="s">
        <v>194</v>
      </c>
      <c r="F97" s="43">
        <f>INDEX(CUSTO!$F$4:$F$38,MATCH(Tabela3[[#This Row],[CARGOS]],CUSTO!$A$4:$A$38,0))</f>
        <v>7159.57</v>
      </c>
      <c r="G97" s="43">
        <v>1</v>
      </c>
    </row>
    <row r="98" spans="1:7">
      <c r="A98" s="43" t="s">
        <v>172</v>
      </c>
      <c r="B98" s="62" t="s">
        <v>24</v>
      </c>
      <c r="C98" s="43" t="s">
        <v>76</v>
      </c>
      <c r="D98" s="64" t="s">
        <v>168</v>
      </c>
      <c r="E98" s="62" t="s">
        <v>169</v>
      </c>
      <c r="F98" s="61">
        <f>INDEX(CUSTO!$F$4:$F$38,MATCH(Tabela3[[#This Row],[CARGOS]],CUSTO!$A$4:$A$38,0))</f>
        <v>7159.57</v>
      </c>
      <c r="G98" s="61">
        <v>2</v>
      </c>
    </row>
    <row r="99" spans="1:7">
      <c r="A99" s="43" t="s">
        <v>172</v>
      </c>
      <c r="B99" s="62" t="s">
        <v>124</v>
      </c>
      <c r="C99" s="43" t="s">
        <v>76</v>
      </c>
      <c r="D99" s="64" t="s">
        <v>170</v>
      </c>
      <c r="E99" s="62" t="s">
        <v>171</v>
      </c>
      <c r="F99" s="61">
        <f>INDEX(CUSTO!$F$4:$F$38,MATCH(Tabela3[[#This Row],[CARGOS]],CUSTO!$A$4:$A$38,0))</f>
        <v>7159.57</v>
      </c>
      <c r="G99" s="61">
        <v>1</v>
      </c>
    </row>
    <row r="100" spans="1:7">
      <c r="A100" s="43" t="s">
        <v>181</v>
      </c>
      <c r="B100" s="41" t="s">
        <v>174</v>
      </c>
      <c r="C100" s="43" t="s">
        <v>76</v>
      </c>
      <c r="D100" s="63" t="s">
        <v>176</v>
      </c>
      <c r="E100" s="41" t="s">
        <v>182</v>
      </c>
      <c r="F100" s="43">
        <f>INDEX(CUSTO!$F$4:$F$38,MATCH(Tabela3[[#This Row],[CARGOS]],CUSTO!$A$4:$A$38,0))</f>
        <v>13753.96</v>
      </c>
      <c r="G100" s="43">
        <v>1</v>
      </c>
    </row>
    <row r="101" spans="1:7">
      <c r="A101" s="43" t="s">
        <v>181</v>
      </c>
      <c r="B101" s="41" t="s">
        <v>174</v>
      </c>
      <c r="C101" s="43" t="s">
        <v>76</v>
      </c>
      <c r="D101" s="63" t="s">
        <v>177</v>
      </c>
      <c r="E101" s="41" t="s">
        <v>183</v>
      </c>
      <c r="F101" s="43">
        <f>INDEX(CUSTO!$F$4:$F$38,MATCH(Tabela3[[#This Row],[CARGOS]],CUSTO!$A$4:$A$38,0))</f>
        <v>13753.96</v>
      </c>
      <c r="G101" s="43">
        <v>1</v>
      </c>
    </row>
    <row r="102" spans="1:7">
      <c r="A102" s="43" t="s">
        <v>181</v>
      </c>
      <c r="B102" s="41" t="s">
        <v>174</v>
      </c>
      <c r="C102" s="43" t="s">
        <v>76</v>
      </c>
      <c r="D102" s="63" t="s">
        <v>178</v>
      </c>
      <c r="E102" s="41" t="s">
        <v>179</v>
      </c>
      <c r="F102" s="43">
        <f>INDEX(CUSTO!$F$4:$F$38,MATCH(Tabela3[[#This Row],[CARGOS]],CUSTO!$A$4:$A$38,0))</f>
        <v>13753.96</v>
      </c>
      <c r="G102" s="43">
        <v>1</v>
      </c>
    </row>
    <row r="103" spans="1:7">
      <c r="A103" s="43" t="s">
        <v>181</v>
      </c>
      <c r="B103" s="41" t="s">
        <v>174</v>
      </c>
      <c r="C103" s="43" t="s">
        <v>76</v>
      </c>
      <c r="D103" s="63" t="s">
        <v>178</v>
      </c>
      <c r="E103" s="41" t="s">
        <v>180</v>
      </c>
      <c r="F103" s="43">
        <f>INDEX(CUSTO!$F$4:$F$38,MATCH(Tabela3[[#This Row],[CARGOS]],CUSTO!$A$4:$A$38,0))</f>
        <v>13753.96</v>
      </c>
      <c r="G103" s="43">
        <v>1</v>
      </c>
    </row>
    <row r="104" spans="1:7">
      <c r="A104" s="43" t="s">
        <v>181</v>
      </c>
      <c r="B104" s="41" t="s">
        <v>174</v>
      </c>
      <c r="C104" s="43" t="s">
        <v>76</v>
      </c>
      <c r="D104" s="63" t="s">
        <v>184</v>
      </c>
      <c r="E104" s="41" t="s">
        <v>185</v>
      </c>
      <c r="F104" s="43">
        <f>INDEX(CUSTO!$F$4:$F$38,MATCH(Tabela3[[#This Row],[CARGOS]],CUSTO!$A$4:$A$38,0))</f>
        <v>13753.96</v>
      </c>
      <c r="G104" s="43">
        <v>1</v>
      </c>
    </row>
    <row r="105" spans="1:7">
      <c r="A105" s="43" t="s">
        <v>181</v>
      </c>
      <c r="B105" s="41" t="s">
        <v>174</v>
      </c>
      <c r="C105" s="43" t="s">
        <v>76</v>
      </c>
      <c r="D105" s="63" t="s">
        <v>186</v>
      </c>
      <c r="E105" s="41" t="s">
        <v>187</v>
      </c>
      <c r="F105" s="43">
        <f>INDEX(CUSTO!$F$4:$F$38,MATCH(Tabela3[[#This Row],[CARGOS]],CUSTO!$A$4:$A$38,0))</f>
        <v>13753.96</v>
      </c>
      <c r="G105" s="43">
        <v>1</v>
      </c>
    </row>
    <row r="106" spans="1:7">
      <c r="A106" s="43" t="s">
        <v>181</v>
      </c>
      <c r="B106" s="41" t="s">
        <v>174</v>
      </c>
      <c r="C106" s="43" t="s">
        <v>76</v>
      </c>
      <c r="D106" s="63" t="s">
        <v>186</v>
      </c>
      <c r="E106" s="41" t="s">
        <v>188</v>
      </c>
      <c r="F106" s="43">
        <f>INDEX(CUSTO!$F$4:$F$38,MATCH(Tabela3[[#This Row],[CARGOS]],CUSTO!$A$4:$A$38,0))</f>
        <v>13753.96</v>
      </c>
      <c r="G106" s="43">
        <v>1</v>
      </c>
    </row>
    <row r="107" spans="1:7">
      <c r="A107" s="43" t="s">
        <v>181</v>
      </c>
      <c r="B107" s="41" t="s">
        <v>175</v>
      </c>
      <c r="C107" s="43" t="s">
        <v>76</v>
      </c>
      <c r="D107" s="63" t="s">
        <v>186</v>
      </c>
      <c r="E107" s="41" t="s">
        <v>189</v>
      </c>
      <c r="F107" s="43">
        <f>INDEX(CUSTO!$F$4:$F$38,MATCH(Tabela3[[#This Row],[CARGOS]],CUSTO!$A$4:$A$38,0))</f>
        <v>7676.6299999999992</v>
      </c>
      <c r="G107" s="43">
        <v>3</v>
      </c>
    </row>
    <row r="108" spans="1:7">
      <c r="A108" s="43" t="s">
        <v>181</v>
      </c>
      <c r="B108" s="41" t="s">
        <v>175</v>
      </c>
      <c r="C108" s="43" t="s">
        <v>76</v>
      </c>
      <c r="D108" s="63" t="s">
        <v>186</v>
      </c>
      <c r="E108" s="41" t="s">
        <v>190</v>
      </c>
      <c r="F108" s="43">
        <f>INDEX(CUSTO!$F$4:$F$38,MATCH(Tabela3[[#This Row],[CARGOS]],CUSTO!$A$4:$A$38,0))</f>
        <v>7676.6299999999992</v>
      </c>
      <c r="G108" s="43">
        <v>2</v>
      </c>
    </row>
    <row r="109" spans="1:7">
      <c r="A109" s="43" t="s">
        <v>181</v>
      </c>
      <c r="B109" s="41" t="s">
        <v>191</v>
      </c>
      <c r="C109" s="43" t="s">
        <v>76</v>
      </c>
      <c r="D109" s="63" t="s">
        <v>192</v>
      </c>
      <c r="E109" s="41" t="s">
        <v>193</v>
      </c>
      <c r="F109" s="43">
        <f>INDEX(CUSTO!$F$4:$F$38,MATCH(Tabela3[[#This Row],[CARGOS]],CUSTO!$A$4:$A$38,0))</f>
        <v>7159.57</v>
      </c>
      <c r="G109" s="43">
        <v>1</v>
      </c>
    </row>
    <row r="110" spans="1:7">
      <c r="A110" s="61" t="s">
        <v>125</v>
      </c>
      <c r="B110" s="62" t="s">
        <v>24</v>
      </c>
      <c r="C110" s="61" t="s">
        <v>76</v>
      </c>
      <c r="D110" s="64" t="s">
        <v>362</v>
      </c>
      <c r="E110" s="62" t="s">
        <v>363</v>
      </c>
      <c r="F110" s="61">
        <f>INDEX(CUSTO!$F$4:$F$38,MATCH(Tabela3[[#This Row],[CARGOS]],CUSTO!$A$4:$A$38,0))</f>
        <v>7159.57</v>
      </c>
      <c r="G110" s="61">
        <v>2</v>
      </c>
    </row>
    <row r="111" spans="1:7">
      <c r="A111" s="61" t="s">
        <v>125</v>
      </c>
      <c r="B111" s="62" t="s">
        <v>112</v>
      </c>
      <c r="C111" s="61" t="s">
        <v>76</v>
      </c>
      <c r="D111" s="64" t="s">
        <v>364</v>
      </c>
      <c r="E111" s="62" t="s">
        <v>286</v>
      </c>
      <c r="F111" s="61">
        <f>INDEX(CUSTO!$F$4:$F$38,MATCH(Tabela3[[#This Row],[CARGOS]],CUSTO!$A$4:$A$38,0))</f>
        <v>7159.57</v>
      </c>
      <c r="G111" s="61">
        <v>1</v>
      </c>
    </row>
    <row r="112" spans="1:7">
      <c r="A112" s="61" t="s">
        <v>125</v>
      </c>
      <c r="B112" s="62" t="s">
        <v>30</v>
      </c>
      <c r="C112" s="61" t="s">
        <v>82</v>
      </c>
      <c r="D112" s="64" t="s">
        <v>365</v>
      </c>
      <c r="E112" s="62" t="s">
        <v>366</v>
      </c>
      <c r="F112" s="61">
        <f>INDEX(CUSTO!$F$4:$F$38,MATCH(Tabela3[[#This Row],[CARGOS]],CUSTO!$A$4:$A$38,0))</f>
        <v>4787.59</v>
      </c>
      <c r="G112" s="61">
        <v>3</v>
      </c>
    </row>
    <row r="113" spans="1:7">
      <c r="A113" s="61" t="s">
        <v>125</v>
      </c>
      <c r="B113" s="62" t="s">
        <v>175</v>
      </c>
      <c r="C113" s="61" t="s">
        <v>76</v>
      </c>
      <c r="D113" s="64" t="s">
        <v>367</v>
      </c>
      <c r="E113" s="62" t="s">
        <v>368</v>
      </c>
      <c r="F113" s="61">
        <f>INDEX(CUSTO!$F$4:$F$38,MATCH(Tabela3[[#This Row],[CARGOS]],CUSTO!$A$4:$A$38,0))</f>
        <v>7676.6299999999992</v>
      </c>
      <c r="G113" s="61">
        <v>3</v>
      </c>
    </row>
    <row r="114" spans="1:7">
      <c r="A114" s="61" t="s">
        <v>125</v>
      </c>
      <c r="B114" s="62" t="s">
        <v>117</v>
      </c>
      <c r="C114" s="61" t="s">
        <v>76</v>
      </c>
      <c r="D114" s="64" t="s">
        <v>369</v>
      </c>
      <c r="E114" s="62" t="s">
        <v>370</v>
      </c>
      <c r="F114" s="61">
        <f>INDEX(CUSTO!$F$4:$F$38,MATCH(Tabela3[[#This Row],[CARGOS]],CUSTO!$A$4:$A$38,0))</f>
        <v>7159.57</v>
      </c>
      <c r="G114" s="61">
        <v>1</v>
      </c>
    </row>
    <row r="115" spans="1:7">
      <c r="A115" s="61" t="s">
        <v>125</v>
      </c>
      <c r="B115" s="62" t="s">
        <v>118</v>
      </c>
      <c r="C115" s="61" t="s">
        <v>76</v>
      </c>
      <c r="D115" s="64" t="s">
        <v>371</v>
      </c>
      <c r="E115" s="62" t="s">
        <v>372</v>
      </c>
      <c r="F115" s="61">
        <f>INDEX(CUSTO!$F$4:$F$38,MATCH(Tabela3[[#This Row],[CARGOS]],CUSTO!$A$4:$A$38,0))</f>
        <v>7159.57</v>
      </c>
      <c r="G115" s="61">
        <v>1</v>
      </c>
    </row>
    <row r="116" spans="1:7">
      <c r="A116" s="61" t="s">
        <v>125</v>
      </c>
      <c r="B116" s="62" t="s">
        <v>119</v>
      </c>
      <c r="C116" s="61" t="s">
        <v>76</v>
      </c>
      <c r="D116" s="64" t="s">
        <v>373</v>
      </c>
      <c r="E116" s="62" t="s">
        <v>374</v>
      </c>
      <c r="F116" s="61">
        <f>INDEX(CUSTO!$F$4:$F$38,MATCH(Tabela3[[#This Row],[CARGOS]],CUSTO!$A$4:$A$38,0))</f>
        <v>7159.57</v>
      </c>
      <c r="G116" s="61">
        <v>1</v>
      </c>
    </row>
    <row r="117" spans="1:7">
      <c r="A117" s="61" t="s">
        <v>125</v>
      </c>
      <c r="B117" s="62" t="s">
        <v>361</v>
      </c>
      <c r="C117" s="61" t="s">
        <v>76</v>
      </c>
      <c r="D117" s="64" t="s">
        <v>375</v>
      </c>
      <c r="E117" s="62" t="s">
        <v>376</v>
      </c>
      <c r="F117" s="61">
        <f>INDEX(CUSTO!$F$4:$F$38,MATCH(Tabela3[[#This Row],[CARGOS]],CUSTO!$A$4:$A$38,0))</f>
        <v>5613.57</v>
      </c>
      <c r="G117" s="61">
        <v>1</v>
      </c>
    </row>
    <row r="118" spans="1:7">
      <c r="A118" s="61" t="s">
        <v>125</v>
      </c>
      <c r="B118" s="62" t="s">
        <v>106</v>
      </c>
      <c r="C118" s="61" t="s">
        <v>76</v>
      </c>
      <c r="D118" s="64" t="s">
        <v>377</v>
      </c>
      <c r="E118" s="61" t="s">
        <v>378</v>
      </c>
      <c r="F118" s="61">
        <f>INDEX(CUSTO!$F$4:$F$38,MATCH(Tabela3[[#This Row],[CARGOS]],CUSTO!$A$4:$A$38,0))</f>
        <v>7159.57</v>
      </c>
      <c r="G118" s="61">
        <v>1</v>
      </c>
    </row>
    <row r="119" spans="1:7">
      <c r="A119" s="61" t="s">
        <v>125</v>
      </c>
      <c r="B119" s="62" t="s">
        <v>20</v>
      </c>
      <c r="C119" s="61" t="s">
        <v>76</v>
      </c>
      <c r="D119" s="64" t="s">
        <v>379</v>
      </c>
      <c r="E119" s="62" t="s">
        <v>380</v>
      </c>
      <c r="F119" s="61">
        <f>INDEX(CUSTO!$F$4:$F$38,MATCH(Tabela3[[#This Row],[CARGOS]],CUSTO!$A$4:$A$38,0))</f>
        <v>7159.57</v>
      </c>
      <c r="G119" s="61">
        <v>1</v>
      </c>
    </row>
    <row r="120" spans="1:7">
      <c r="A120" s="61" t="s">
        <v>125</v>
      </c>
      <c r="B120" s="62" t="s">
        <v>122</v>
      </c>
      <c r="C120" s="61" t="s">
        <v>82</v>
      </c>
      <c r="D120" s="64" t="s">
        <v>381</v>
      </c>
      <c r="E120" s="62" t="s">
        <v>382</v>
      </c>
      <c r="F120" s="61">
        <f>INDEX(CUSTO!$F$4:$F$38,MATCH(Tabela3[[#This Row],[CARGOS]],CUSTO!$A$4:$A$38,0))</f>
        <v>4787.59</v>
      </c>
      <c r="G120" s="61">
        <v>1</v>
      </c>
    </row>
    <row r="121" spans="1:7">
      <c r="A121" s="61" t="s">
        <v>383</v>
      </c>
      <c r="B121" s="62" t="s">
        <v>175</v>
      </c>
      <c r="C121" s="61" t="s">
        <v>76</v>
      </c>
      <c r="D121" s="64" t="s">
        <v>385</v>
      </c>
      <c r="E121" s="62" t="s">
        <v>384</v>
      </c>
      <c r="F121" s="61">
        <f>INDEX(CUSTO!$F$4:$F$38,MATCH(Tabela3[[#This Row],[CARGOS]],CUSTO!$A$4:$A$38,0))</f>
        <v>7676.6299999999992</v>
      </c>
      <c r="G121" s="61">
        <v>1</v>
      </c>
    </row>
    <row r="122" spans="1:7">
      <c r="A122" s="61" t="s">
        <v>383</v>
      </c>
      <c r="B122" s="62" t="s">
        <v>175</v>
      </c>
      <c r="C122" s="61" t="s">
        <v>76</v>
      </c>
      <c r="D122" s="64" t="s">
        <v>386</v>
      </c>
      <c r="E122" s="62" t="s">
        <v>384</v>
      </c>
      <c r="F122" s="61">
        <f>INDEX(CUSTO!$F$4:$F$38,MATCH(Tabela3[[#This Row],[CARGOS]],CUSTO!$A$4:$A$38,0))</f>
        <v>7676.6299999999992</v>
      </c>
      <c r="G122" s="61">
        <v>1</v>
      </c>
    </row>
    <row r="123" spans="1:7">
      <c r="A123" s="61" t="s">
        <v>383</v>
      </c>
      <c r="B123" s="62" t="s">
        <v>175</v>
      </c>
      <c r="C123" s="61" t="s">
        <v>76</v>
      </c>
      <c r="D123" s="64" t="s">
        <v>387</v>
      </c>
      <c r="E123" s="62" t="s">
        <v>388</v>
      </c>
      <c r="F123" s="61">
        <f>INDEX(CUSTO!$F$4:$F$38,MATCH(Tabela3[[#This Row],[CARGOS]],CUSTO!$A$4:$A$38,0))</f>
        <v>7676.6299999999992</v>
      </c>
      <c r="G123" s="61">
        <v>2</v>
      </c>
    </row>
    <row r="124" spans="1:7">
      <c r="A124" s="61" t="s">
        <v>383</v>
      </c>
      <c r="B124" s="62" t="s">
        <v>175</v>
      </c>
      <c r="C124" s="61" t="s">
        <v>76</v>
      </c>
      <c r="D124" s="64" t="s">
        <v>389</v>
      </c>
      <c r="E124" s="62" t="s">
        <v>390</v>
      </c>
      <c r="F124" s="61">
        <f>INDEX(CUSTO!$F$4:$F$38,MATCH(Tabela3[[#This Row],[CARGOS]],CUSTO!$A$4:$A$38,0))</f>
        <v>7676.6299999999992</v>
      </c>
      <c r="G124" s="61">
        <v>3</v>
      </c>
    </row>
    <row r="125" spans="1:7">
      <c r="A125" s="61" t="s">
        <v>383</v>
      </c>
      <c r="B125" s="62" t="s">
        <v>175</v>
      </c>
      <c r="C125" s="61" t="s">
        <v>76</v>
      </c>
      <c r="D125" s="64" t="s">
        <v>391</v>
      </c>
      <c r="E125" s="62" t="s">
        <v>392</v>
      </c>
      <c r="F125" s="61">
        <f>INDEX(CUSTO!$F$4:$F$38,MATCH(Tabela3[[#This Row],[CARGOS]],CUSTO!$A$4:$A$38,0))</f>
        <v>7676.6299999999992</v>
      </c>
      <c r="G125" s="61">
        <v>1</v>
      </c>
    </row>
    <row r="126" spans="1:7">
      <c r="A126" s="61" t="s">
        <v>383</v>
      </c>
      <c r="B126" s="62" t="s">
        <v>175</v>
      </c>
      <c r="C126" s="61" t="s">
        <v>76</v>
      </c>
      <c r="D126" s="64" t="s">
        <v>393</v>
      </c>
      <c r="E126" s="62" t="s">
        <v>138</v>
      </c>
      <c r="F126" s="61">
        <f>INDEX(CUSTO!$F$4:$F$38,MATCH(Tabela3[[#This Row],[CARGOS]],CUSTO!$A$4:$A$38,0))</f>
        <v>7676.6299999999992</v>
      </c>
      <c r="G126" s="61">
        <v>2</v>
      </c>
    </row>
    <row r="127" spans="1:7">
      <c r="A127" s="61" t="s">
        <v>383</v>
      </c>
      <c r="B127" s="62" t="s">
        <v>175</v>
      </c>
      <c r="C127" s="61" t="s">
        <v>76</v>
      </c>
      <c r="D127" s="64" t="s">
        <v>149</v>
      </c>
      <c r="E127" s="62" t="s">
        <v>394</v>
      </c>
      <c r="F127" s="61">
        <f>INDEX(CUSTO!$F$4:$F$38,MATCH(Tabela3[[#This Row],[CARGOS]],CUSTO!$A$4:$A$38,0))</f>
        <v>7676.6299999999992</v>
      </c>
      <c r="G127" s="61">
        <v>2</v>
      </c>
    </row>
    <row r="128" spans="1:7">
      <c r="A128" s="61" t="s">
        <v>383</v>
      </c>
      <c r="B128" s="62" t="s">
        <v>175</v>
      </c>
      <c r="C128" s="61" t="s">
        <v>76</v>
      </c>
      <c r="D128" s="64" t="s">
        <v>395</v>
      </c>
      <c r="E128" s="62" t="s">
        <v>396</v>
      </c>
      <c r="F128" s="61">
        <f>INDEX(CUSTO!$F$4:$F$38,MATCH(Tabela3[[#This Row],[CARGOS]],CUSTO!$A$4:$A$38,0))</f>
        <v>7676.6299999999992</v>
      </c>
      <c r="G128" s="61">
        <v>2</v>
      </c>
    </row>
    <row r="129" spans="1:7">
      <c r="A129" s="61" t="s">
        <v>383</v>
      </c>
      <c r="B129" s="62" t="s">
        <v>175</v>
      </c>
      <c r="C129" s="61" t="s">
        <v>76</v>
      </c>
      <c r="D129" s="64" t="s">
        <v>397</v>
      </c>
      <c r="E129" s="62" t="s">
        <v>398</v>
      </c>
      <c r="F129" s="61">
        <f>INDEX(CUSTO!$F$4:$F$38,MATCH(Tabela3[[#This Row],[CARGOS]],CUSTO!$A$4:$A$38,0))</f>
        <v>7676.6299999999992</v>
      </c>
      <c r="G129" s="61">
        <v>2</v>
      </c>
    </row>
    <row r="130" spans="1:7">
      <c r="A130" s="61" t="s">
        <v>383</v>
      </c>
      <c r="B130" s="62" t="s">
        <v>175</v>
      </c>
      <c r="C130" s="61" t="s">
        <v>76</v>
      </c>
      <c r="D130" s="64" t="s">
        <v>399</v>
      </c>
      <c r="E130" s="62" t="s">
        <v>137</v>
      </c>
      <c r="F130" s="61">
        <f>INDEX(CUSTO!$F$4:$F$38,MATCH(Tabela3[[#This Row],[CARGOS]],CUSTO!$A$4:$A$38,0))</f>
        <v>7676.6299999999992</v>
      </c>
      <c r="G130" s="61">
        <v>2</v>
      </c>
    </row>
    <row r="131" spans="1:7">
      <c r="A131" s="61" t="s">
        <v>383</v>
      </c>
      <c r="B131" s="62" t="s">
        <v>175</v>
      </c>
      <c r="C131" s="61" t="s">
        <v>76</v>
      </c>
      <c r="D131" s="64" t="s">
        <v>400</v>
      </c>
      <c r="E131" s="62" t="s">
        <v>401</v>
      </c>
      <c r="F131" s="61">
        <f>INDEX(CUSTO!$F$4:$F$38,MATCH(Tabela3[[#This Row],[CARGOS]],CUSTO!$A$4:$A$38,0))</f>
        <v>7676.6299999999992</v>
      </c>
      <c r="G131" s="61">
        <v>2</v>
      </c>
    </row>
    <row r="132" spans="1:7">
      <c r="A132" s="61" t="s">
        <v>383</v>
      </c>
      <c r="B132" s="62" t="s">
        <v>175</v>
      </c>
      <c r="C132" s="61" t="s">
        <v>76</v>
      </c>
      <c r="D132" s="64" t="s">
        <v>402</v>
      </c>
      <c r="E132" s="62" t="s">
        <v>403</v>
      </c>
      <c r="F132" s="61">
        <f>INDEX(CUSTO!$F$4:$F$38,MATCH(Tabela3[[#This Row],[CARGOS]],CUSTO!$A$4:$A$38,0))</f>
        <v>7676.6299999999992</v>
      </c>
      <c r="G132" s="61">
        <v>2</v>
      </c>
    </row>
    <row r="133" spans="1:7">
      <c r="A133" s="61" t="s">
        <v>383</v>
      </c>
      <c r="B133" s="62" t="s">
        <v>175</v>
      </c>
      <c r="C133" s="61" t="s">
        <v>76</v>
      </c>
      <c r="D133" s="64" t="s">
        <v>404</v>
      </c>
      <c r="E133" s="62" t="s">
        <v>154</v>
      </c>
      <c r="F133" s="61">
        <f>INDEX(CUSTO!$F$4:$F$38,MATCH(Tabela3[[#This Row],[CARGOS]],CUSTO!$A$4:$A$38,0))</f>
        <v>7676.6299999999992</v>
      </c>
      <c r="G133" s="61">
        <v>2</v>
      </c>
    </row>
    <row r="134" spans="1:7">
      <c r="A134" s="61" t="s">
        <v>383</v>
      </c>
      <c r="B134" s="62" t="s">
        <v>175</v>
      </c>
      <c r="C134" s="61" t="s">
        <v>76</v>
      </c>
      <c r="D134" s="64" t="s">
        <v>405</v>
      </c>
      <c r="E134" s="62" t="s">
        <v>406</v>
      </c>
      <c r="F134" s="61">
        <f>INDEX(CUSTO!$F$4:$F$38,MATCH(Tabela3[[#This Row],[CARGOS]],CUSTO!$A$4:$A$38,0))</f>
        <v>7676.6299999999992</v>
      </c>
      <c r="G134" s="61">
        <v>2</v>
      </c>
    </row>
    <row r="135" spans="1:7">
      <c r="A135" s="61" t="s">
        <v>383</v>
      </c>
      <c r="B135" s="62" t="s">
        <v>24</v>
      </c>
      <c r="C135" s="61" t="s">
        <v>76</v>
      </c>
      <c r="D135" s="64" t="s">
        <v>407</v>
      </c>
      <c r="E135" s="62" t="s">
        <v>408</v>
      </c>
      <c r="F135" s="61">
        <f>INDEX(CUSTO!$F$4:$F$38,MATCH(Tabela3[[#This Row],[CARGOS]],CUSTO!$A$4:$A$38,0))</f>
        <v>7159.57</v>
      </c>
      <c r="G135" s="61">
        <v>5</v>
      </c>
    </row>
    <row r="136" spans="1:7">
      <c r="A136" s="61" t="s">
        <v>383</v>
      </c>
      <c r="B136" s="62" t="s">
        <v>112</v>
      </c>
      <c r="C136" s="61" t="s">
        <v>76</v>
      </c>
      <c r="D136" s="64" t="s">
        <v>409</v>
      </c>
      <c r="E136" s="62" t="s">
        <v>286</v>
      </c>
      <c r="F136" s="61">
        <f>INDEX(CUSTO!$F$4:$F$38,MATCH(Tabela3[[#This Row],[CARGOS]],CUSTO!$A$4:$A$38,0))</f>
        <v>7159.57</v>
      </c>
      <c r="G136" s="61">
        <v>1</v>
      </c>
    </row>
    <row r="137" spans="1:7">
      <c r="A137" s="61" t="s">
        <v>383</v>
      </c>
      <c r="B137" s="62" t="s">
        <v>12</v>
      </c>
      <c r="C137" s="61" t="s">
        <v>76</v>
      </c>
      <c r="D137" s="64" t="s">
        <v>410</v>
      </c>
      <c r="E137" s="62" t="s">
        <v>411</v>
      </c>
      <c r="F137" s="61">
        <f>INDEX(CUSTO!$F$4:$F$38,MATCH(Tabela3[[#This Row],[CARGOS]],CUSTO!$A$4:$A$38,0))</f>
        <v>7159.57</v>
      </c>
      <c r="G137" s="61">
        <v>2</v>
      </c>
    </row>
    <row r="138" spans="1:7">
      <c r="A138" s="61" t="s">
        <v>383</v>
      </c>
      <c r="B138" s="62" t="s">
        <v>111</v>
      </c>
      <c r="C138" s="61" t="s">
        <v>76</v>
      </c>
      <c r="D138" s="64" t="s">
        <v>412</v>
      </c>
      <c r="E138" s="62" t="s">
        <v>413</v>
      </c>
      <c r="F138" s="61">
        <f>INDEX(CUSTO!$F$4:$F$38,MATCH(Tabela3[[#This Row],[CARGOS]],CUSTO!$A$4:$A$38,0))</f>
        <v>7159.57</v>
      </c>
      <c r="G138" s="61">
        <v>1</v>
      </c>
    </row>
    <row r="139" spans="1:7">
      <c r="A139" s="61" t="s">
        <v>383</v>
      </c>
      <c r="B139" s="62" t="s">
        <v>109</v>
      </c>
      <c r="C139" s="61" t="s">
        <v>76</v>
      </c>
      <c r="D139" s="64" t="s">
        <v>414</v>
      </c>
      <c r="E139" s="62" t="s">
        <v>415</v>
      </c>
      <c r="F139" s="61">
        <f>INDEX(CUSTO!$F$4:$F$38,MATCH(Tabela3[[#This Row],[CARGOS]],CUSTO!$A$4:$A$38,0))</f>
        <v>10396.5</v>
      </c>
      <c r="G139" s="61">
        <v>1</v>
      </c>
    </row>
    <row r="140" spans="1:7">
      <c r="A140" s="61" t="s">
        <v>383</v>
      </c>
      <c r="B140" s="62" t="s">
        <v>124</v>
      </c>
      <c r="C140" s="61" t="s">
        <v>76</v>
      </c>
      <c r="D140" s="64" t="s">
        <v>416</v>
      </c>
      <c r="E140" s="62" t="s">
        <v>417</v>
      </c>
      <c r="F140" s="61">
        <f>INDEX(CUSTO!$F$4:$F$38,MATCH(Tabela3[[#This Row],[CARGOS]],CUSTO!$A$4:$A$38,0))</f>
        <v>7159.57</v>
      </c>
      <c r="G140" s="61">
        <v>1</v>
      </c>
    </row>
    <row r="141" spans="1:7">
      <c r="A141" s="61" t="s">
        <v>383</v>
      </c>
      <c r="B141" s="62" t="s">
        <v>430</v>
      </c>
      <c r="C141" s="61" t="s">
        <v>76</v>
      </c>
      <c r="D141" s="64" t="s">
        <v>418</v>
      </c>
      <c r="E141" s="62" t="s">
        <v>419</v>
      </c>
      <c r="F141" s="61">
        <f>INDEX(CUSTO!$F$4:$F$38,MATCH(Tabela3[[#This Row],[CARGOS]],CUSTO!$A$4:$A$38,0))</f>
        <v>7159.57</v>
      </c>
      <c r="G141" s="61">
        <v>1</v>
      </c>
    </row>
    <row r="142" spans="1:7">
      <c r="A142" s="61" t="s">
        <v>383</v>
      </c>
      <c r="B142" s="62" t="s">
        <v>22</v>
      </c>
      <c r="C142" s="61" t="s">
        <v>76</v>
      </c>
      <c r="D142" s="64" t="s">
        <v>420</v>
      </c>
      <c r="E142" s="62" t="s">
        <v>421</v>
      </c>
      <c r="F142" s="61">
        <f>INDEX(CUSTO!$F$4:$F$38,MATCH(Tabela3[[#This Row],[CARGOS]],CUSTO!$A$4:$A$38,0))</f>
        <v>7159.57</v>
      </c>
      <c r="G142" s="61">
        <v>1</v>
      </c>
    </row>
    <row r="143" spans="1:7">
      <c r="A143" s="61" t="s">
        <v>383</v>
      </c>
      <c r="B143" s="62" t="s">
        <v>14</v>
      </c>
      <c r="C143" s="61" t="s">
        <v>76</v>
      </c>
      <c r="D143" s="64" t="s">
        <v>422</v>
      </c>
      <c r="E143" s="62" t="s">
        <v>423</v>
      </c>
      <c r="F143" s="61">
        <f>INDEX(CUSTO!$F$4:$F$38,MATCH(Tabela3[[#This Row],[CARGOS]],CUSTO!$A$4:$A$38,0))</f>
        <v>7159.57</v>
      </c>
      <c r="G143" s="61">
        <v>1</v>
      </c>
    </row>
    <row r="144" spans="1:7">
      <c r="A144" s="61" t="s">
        <v>383</v>
      </c>
      <c r="B144" s="62" t="s">
        <v>11</v>
      </c>
      <c r="C144" s="61" t="s">
        <v>76</v>
      </c>
      <c r="D144" s="64" t="s">
        <v>141</v>
      </c>
      <c r="E144" s="62" t="s">
        <v>424</v>
      </c>
      <c r="F144" s="61">
        <f>INDEX(CUSTO!$F$4:$F$38,MATCH(Tabela3[[#This Row],[CARGOS]],CUSTO!$A$4:$A$38,0))</f>
        <v>7159.57</v>
      </c>
      <c r="G144" s="61">
        <v>1</v>
      </c>
    </row>
    <row r="145" spans="1:7">
      <c r="A145" s="61" t="s">
        <v>383</v>
      </c>
      <c r="B145" s="62" t="s">
        <v>106</v>
      </c>
      <c r="C145" s="61" t="s">
        <v>76</v>
      </c>
      <c r="D145" s="64" t="s">
        <v>425</v>
      </c>
      <c r="E145" s="62" t="s">
        <v>426</v>
      </c>
      <c r="F145" s="61">
        <f>INDEX(CUSTO!$F$4:$F$38,MATCH(Tabela3[[#This Row],[CARGOS]],CUSTO!$A$4:$A$38,0))</f>
        <v>7159.57</v>
      </c>
      <c r="G145" s="61">
        <v>2</v>
      </c>
    </row>
    <row r="146" spans="1:7">
      <c r="A146" s="61" t="s">
        <v>383</v>
      </c>
      <c r="B146" s="62" t="s">
        <v>105</v>
      </c>
      <c r="C146" s="61" t="s">
        <v>76</v>
      </c>
      <c r="D146" s="64" t="s">
        <v>427</v>
      </c>
      <c r="E146" s="62" t="s">
        <v>428</v>
      </c>
      <c r="F146" s="61">
        <f>INDEX(CUSTO!$F$4:$F$38,MATCH(Tabela3[[#This Row],[CARGOS]],CUSTO!$A$4:$A$38,0))</f>
        <v>7159.57</v>
      </c>
      <c r="G146" s="61">
        <v>28</v>
      </c>
    </row>
  </sheetData>
  <pageMargins left="0.511811024" right="0.511811024" top="0.78740157499999996" bottom="0.78740157499999996" header="0.31496062000000002" footer="0.31496062000000002"/>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574E9-5276-4E23-99FE-FD975CC520D2}">
  <dimension ref="A1:AA207"/>
  <sheetViews>
    <sheetView showGridLines="0" showZeros="0" topLeftCell="A6" workbookViewId="0">
      <selection activeCell="C29" sqref="C29"/>
    </sheetView>
  </sheetViews>
  <sheetFormatPr baseColWidth="10" defaultColWidth="8.83203125" defaultRowHeight="15.75" customHeight="1"/>
  <cols>
    <col min="1" max="1" width="41" bestFit="1" customWidth="1"/>
    <col min="2" max="2" width="10.1640625" style="67" bestFit="1" customWidth="1"/>
    <col min="3" max="3" width="15.6640625" style="48" bestFit="1" customWidth="1"/>
    <col min="4" max="4" width="11.1640625" style="48" customWidth="1"/>
    <col min="5" max="5" width="10.5" style="48" customWidth="1"/>
    <col min="6" max="7" width="9.83203125" style="48" customWidth="1"/>
    <col min="8" max="8" width="8.5" style="48" customWidth="1"/>
    <col min="9" max="11" width="8.83203125" style="48" customWidth="1"/>
    <col min="12" max="12" width="6.33203125" style="48" customWidth="1"/>
    <col min="13" max="13" width="2" style="48" customWidth="1"/>
    <col min="14" max="16" width="9.1640625" style="48"/>
    <col min="17" max="17" width="11.1640625" style="48" bestFit="1" customWidth="1"/>
    <col min="18" max="27" width="9.1640625" style="48"/>
  </cols>
  <sheetData>
    <row r="1" spans="1:25" ht="15.75" customHeight="1">
      <c r="A1" s="119" t="s">
        <v>44</v>
      </c>
      <c r="B1" s="54" t="s">
        <v>46</v>
      </c>
    </row>
    <row r="2" spans="1:25" ht="15.75" customHeight="1">
      <c r="A2" s="119"/>
      <c r="B2" s="121" t="s">
        <v>60</v>
      </c>
    </row>
    <row r="3" spans="1:25" ht="15.75" customHeight="1">
      <c r="A3" s="120"/>
      <c r="B3" s="121"/>
      <c r="C3" s="45" t="str" cm="1">
        <f t="array" ref="C3:J3">TRANSPOSE(_xlfn.UNIQUE(PERFIL!A2:A216,,))</f>
        <v>AFA</v>
      </c>
      <c r="D3" s="45" t="str">
        <v>CBNB</v>
      </c>
      <c r="E3" s="45" t="str">
        <v>EPCAR</v>
      </c>
      <c r="F3" s="45" t="str">
        <v>ECE</v>
      </c>
      <c r="G3" s="45" t="str">
        <v>UNIFA</v>
      </c>
      <c r="H3" s="45" t="str">
        <v>EEAR</v>
      </c>
      <c r="I3" s="45" t="str">
        <v>CTRB</v>
      </c>
      <c r="J3" s="48">
        <v>0</v>
      </c>
    </row>
    <row r="4" spans="1:25" ht="15.75" customHeight="1">
      <c r="A4" s="46" t="str" cm="1">
        <f t="array" ref="A4:A39">_xlfn._xlws.SORT(_xlfn.UNIQUE(PERFIL!B2:B1016),,,)</f>
        <v>Administrador</v>
      </c>
      <c r="B4" s="68" cm="1">
        <f t="array" ref="B4:B203">SUMIFS(PERFIL!G2:G216,PERFIL!B2:B216,PAINEL!A4:A203)</f>
        <v>15</v>
      </c>
      <c r="C4" s="47" cm="1">
        <f t="array" ref="C4:C203">IF(T11="TODOS",SUMIFS(PERFIL!G2:G216,PERFIL!B2:B216,PAINEL!A4:A203,PERFIL!A2:A216,PAINEL!$C$3),
IF(T11="NI",SUMIFS(PERFIL!G2:G216,PERFIL!B2:B216,PAINEL!A4:A203,PERFIL!A2:A216,PAINEL!$C$3,PERFIL!$C$2:$C$216,"NI"),
IF(T11="NS",SUMIFS(PERFIL!G2:G216,PERFIL!B2:B216,PAINEL!A4:A203,PERFIL!A2:A216,PAINEL!$C$3,PERFIL!$C$2:$C$216,"NS"))))</f>
        <v>0</v>
      </c>
      <c r="D4" s="47" cm="1">
        <f t="array" ref="D4:D202">IF(T11="TODOS",SUMIFS(PERFIL!G2:G216,PERFIL!B2:B216,PAINEL!A4:A202,PERFIL!A2:A216,PAINEL!$D$3),
IF(T11="NI",SUMIFS(PERFIL!G2:G216,PERFIL!B2:B216,PAINEL!A4:A202,PERFIL!A2:A216,PAINEL!$D$3,PERFIL!$C$2:$C$216,"NI"),
IF(T11="NS",SUMIFS(PERFIL!G2:G216,PERFIL!B2:B216,PAINEL!A4:A202,PERFIL!A2:A216,PAINEL!$D$3,PERFIL!$C$2:$C$216,"NS"))))</f>
        <v>0</v>
      </c>
      <c r="E4" s="47" cm="1">
        <f t="array" ref="E4:E202">IF(T11="TODOS",SUMIFS(PERFIL!G2:G216,PERFIL!B2:B216,PAINEL!A4:A202,PERFIL!A2:A216,PAINEL!$E$3),
IF(T11="NI",SUMIFS(PERFIL!G2:G216,PERFIL!B2:B216,PAINEL!A4:A202,PERFIL!A2:A216,PAINEL!$E$3,PERFIL!$C$2:$C$216,"NI"),
IF(T11="NS",SUMIFS(PERFIL!G2:G216,PERFIL!B2:B216,PAINEL!A4:A202,PERFIL!A2:A216,PAINEL!$E$3,PERFIL!$C$2:$C$216,"NS"))))</f>
        <v>6</v>
      </c>
      <c r="F4" s="47" cm="1">
        <f t="array" ref="F4:F202">IF(T11="TODOS",SUMIFS(PERFIL!G2:G216,PERFIL!B2:B216,PAINEL!A4:A202,PERFIL!A2:A216,PAINEL!$F$3),
IF(T11="NI",SUMIFS(PERFIL!G2:G216,PERFIL!B2:B216,PAINEL!A4:A202,PERFIL!A2:A216,PAINEL!$F$3,PERFIL!$C$2:$C$216,"NI"),
IF(T11="NS",SUMIFS(PERFIL!G2:G216,PERFIL!B2:B216,PAINEL!A4:A202,PERFIL!A2:A216,PAINEL!$F$3,PERFIL!$C$2:$C$216,"NS"))))</f>
        <v>2</v>
      </c>
      <c r="G4" s="47" cm="1">
        <f t="array" ref="G4:G207">IF(T11="TODOS",SUMIFS(PERFIL!G2:G216,PERFIL!B2:B216,PAINEL!A4:A207,PERFIL!A2:A216,PAINEL!$G$3),
IF(T11="NI",SUMIFS(PERFIL!G2:G216,PERFIL!B2:B216,PAINEL!A4:A207,PERFIL!A2:A216,PAINEL!$G$3,PERFIL!$C$2:$C$216,"NI"),
IF(T11="NS",SUMIFS(PERFIL!G2:G216,PERFIL!B2:B216,PAINEL!A4:A207,PERFIL!A2:A216,PAINEL!$G$3,PERFIL!$C$2:$C$216,"NS"))))</f>
        <v>0</v>
      </c>
      <c r="H4" s="47" cm="1">
        <f t="array" ref="H4:H207">IF(T11="TODOS",SUMIFS(PERFIL!G2:G216,PERFIL!B2:B216,PAINEL!A4:A207,PERFIL!A2:A216,PAINEL!$H$3),
IF(T11="NI",SUMIFS(PERFIL!G2:G216,PERFIL!B2:B216,PAINEL!A4:A207,PERFIL!A2:A216,PAINEL!$H$3,PERFIL!$C$2:$C$216,"NI"),
IF(T11="NS",SUMIFS(PERFIL!G2:G216,PERFIL!B2:B216,PAINEL!A4:A207,PERFIL!A2:A216,PAINEL!$H$3,PERFIL!$C$2:$C$216,"NS"))))</f>
        <v>2</v>
      </c>
      <c r="I4" s="47" cm="1">
        <f t="array" ref="I4:I207">IF(T11="TODOS",SUMIFS(PERFIL!G2:G216,PERFIL!B2:B216,PAINEL!A4:A207,PERFIL!A2:A216,PAINEL!$I$3),
IF(T11="NI",SUMIFS(PERFIL!G2:G216,PERFIL!B2:B216,PAINEL!A4:A207,PERFIL!A2:A216,PAINEL!$I$3,PERFIL!$C$2:$C$216,"NI"),
IF(T11="NS",SUMIFS(PERFIL!G2:G216,PERFIL!B2:B216,PAINEL!A4:A207,PERFIL!A2:A216,PAINEL!$I$3,PERFIL!$C$2:$C$216,"NS"))))</f>
        <v>5</v>
      </c>
    </row>
    <row r="5" spans="1:25" ht="15.75" customHeight="1">
      <c r="A5" s="46" t="str">
        <v>Administrador Hospitalar</v>
      </c>
      <c r="B5" s="68">
        <v>2</v>
      </c>
      <c r="C5" s="47">
        <v>0</v>
      </c>
      <c r="D5" s="47">
        <v>0</v>
      </c>
      <c r="E5" s="47">
        <v>2</v>
      </c>
      <c r="F5" s="47">
        <v>0</v>
      </c>
      <c r="G5" s="47">
        <v>0</v>
      </c>
      <c r="H5" s="47">
        <v>0</v>
      </c>
      <c r="I5" s="47">
        <v>0</v>
      </c>
    </row>
    <row r="6" spans="1:25" ht="15.75" customHeight="1">
      <c r="A6" s="46" t="str">
        <v>Advogado</v>
      </c>
      <c r="B6" s="68">
        <v>4</v>
      </c>
      <c r="C6" s="47">
        <v>2</v>
      </c>
      <c r="D6" s="47">
        <v>0</v>
      </c>
      <c r="E6" s="47">
        <v>1</v>
      </c>
      <c r="F6" s="47">
        <v>0</v>
      </c>
      <c r="G6" s="47">
        <v>0</v>
      </c>
      <c r="H6" s="47">
        <v>0</v>
      </c>
      <c r="I6" s="47">
        <v>1</v>
      </c>
    </row>
    <row r="7" spans="1:25" ht="15.75" customHeight="1">
      <c r="A7" s="46" t="str">
        <v>Agente Administrativo</v>
      </c>
      <c r="B7" s="68">
        <v>40</v>
      </c>
      <c r="C7" s="47">
        <v>31</v>
      </c>
      <c r="D7" s="47">
        <v>6</v>
      </c>
      <c r="E7" s="47">
        <v>0</v>
      </c>
      <c r="F7" s="47">
        <v>0</v>
      </c>
      <c r="G7" s="47">
        <v>0</v>
      </c>
      <c r="H7" s="47">
        <v>3</v>
      </c>
      <c r="I7" s="47">
        <v>0</v>
      </c>
      <c r="T7" s="48" t="s">
        <v>128</v>
      </c>
      <c r="W7" s="50" t="s">
        <v>130</v>
      </c>
    </row>
    <row r="8" spans="1:25" ht="15.75" customHeight="1">
      <c r="A8" s="46" t="str">
        <v>Analista de Tecnologia da Informação</v>
      </c>
      <c r="B8" s="68">
        <v>4</v>
      </c>
      <c r="C8" s="47">
        <v>0</v>
      </c>
      <c r="D8" s="47">
        <v>0</v>
      </c>
      <c r="E8" s="47">
        <v>2</v>
      </c>
      <c r="F8" s="47">
        <v>1</v>
      </c>
      <c r="G8" s="47">
        <v>0</v>
      </c>
      <c r="H8" s="47">
        <v>0</v>
      </c>
      <c r="I8" s="47">
        <v>1</v>
      </c>
      <c r="V8" s="51"/>
      <c r="W8" s="51" t="s">
        <v>129</v>
      </c>
    </row>
    <row r="9" spans="1:25" ht="15.75" customHeight="1">
      <c r="A9" s="46" t="str">
        <v>Analista Técnico Administrativo</v>
      </c>
      <c r="B9" s="68">
        <v>2</v>
      </c>
      <c r="C9" s="47">
        <v>0</v>
      </c>
      <c r="D9" s="47">
        <v>2</v>
      </c>
      <c r="E9" s="47">
        <v>0</v>
      </c>
      <c r="F9" s="47">
        <v>0</v>
      </c>
      <c r="G9" s="47">
        <v>0</v>
      </c>
      <c r="H9" s="47">
        <v>0</v>
      </c>
      <c r="I9" s="47">
        <v>0</v>
      </c>
      <c r="W9" s="51" t="s">
        <v>131</v>
      </c>
    </row>
    <row r="10" spans="1:25" ht="15.75" customHeight="1">
      <c r="A10" s="46" t="str">
        <v>Arquiteto</v>
      </c>
      <c r="B10" s="68">
        <v>1</v>
      </c>
      <c r="C10" s="47">
        <v>0</v>
      </c>
      <c r="D10" s="47">
        <v>0</v>
      </c>
      <c r="E10" s="47">
        <v>1</v>
      </c>
      <c r="F10" s="47">
        <v>0</v>
      </c>
      <c r="G10" s="47">
        <v>0</v>
      </c>
      <c r="H10" s="47">
        <v>0</v>
      </c>
      <c r="I10" s="47">
        <v>0</v>
      </c>
      <c r="W10" s="51" t="s">
        <v>348</v>
      </c>
    </row>
    <row r="11" spans="1:25" ht="15.75" customHeight="1">
      <c r="A11" s="46" t="str">
        <v>Arquivista</v>
      </c>
      <c r="B11" s="68">
        <v>3</v>
      </c>
      <c r="C11" s="47">
        <v>0</v>
      </c>
      <c r="D11" s="47">
        <v>0</v>
      </c>
      <c r="E11" s="47">
        <v>1</v>
      </c>
      <c r="F11" s="47">
        <v>0</v>
      </c>
      <c r="G11" s="47">
        <v>0</v>
      </c>
      <c r="H11" s="47">
        <v>1</v>
      </c>
      <c r="I11" s="47">
        <v>1</v>
      </c>
      <c r="P11" s="52" t="s">
        <v>127</v>
      </c>
      <c r="T11" s="49" t="s">
        <v>132</v>
      </c>
    </row>
    <row r="12" spans="1:25" ht="15.75" customHeight="1">
      <c r="A12" s="46" t="str">
        <v>Assistente Social</v>
      </c>
      <c r="B12" s="68">
        <v>5</v>
      </c>
      <c r="C12" s="47">
        <v>0</v>
      </c>
      <c r="D12" s="47">
        <v>0</v>
      </c>
      <c r="E12" s="47">
        <v>3</v>
      </c>
      <c r="F12" s="47">
        <v>1</v>
      </c>
      <c r="G12" s="47">
        <v>0</v>
      </c>
      <c r="H12" s="47">
        <v>0</v>
      </c>
      <c r="I12" s="47">
        <v>1</v>
      </c>
    </row>
    <row r="13" spans="1:25" ht="15.75" customHeight="1">
      <c r="A13" s="46" t="str">
        <v>Auxiliar Assuntos Educacionais</v>
      </c>
      <c r="B13" s="68">
        <v>6</v>
      </c>
      <c r="C13" s="47">
        <v>0</v>
      </c>
      <c r="D13" s="47">
        <v>6</v>
      </c>
      <c r="E13" s="47">
        <v>0</v>
      </c>
      <c r="F13" s="47">
        <v>0</v>
      </c>
      <c r="G13" s="47">
        <v>0</v>
      </c>
      <c r="H13" s="47">
        <v>0</v>
      </c>
      <c r="I13" s="47">
        <v>0</v>
      </c>
    </row>
    <row r="14" spans="1:25" ht="15.75" customHeight="1">
      <c r="A14" s="46" t="str">
        <v>Bibliotecário</v>
      </c>
      <c r="B14" s="68">
        <v>4</v>
      </c>
      <c r="C14" s="47">
        <v>1</v>
      </c>
      <c r="D14" s="47">
        <v>0</v>
      </c>
      <c r="E14" s="47">
        <v>1</v>
      </c>
      <c r="F14" s="47">
        <v>1</v>
      </c>
      <c r="G14" s="47">
        <v>0</v>
      </c>
      <c r="H14" s="47">
        <v>0</v>
      </c>
      <c r="I14" s="47">
        <v>1</v>
      </c>
      <c r="R14" s="53" t="s">
        <v>102</v>
      </c>
      <c r="S14" s="53" t="s">
        <v>104</v>
      </c>
      <c r="T14" s="53" t="s">
        <v>126</v>
      </c>
      <c r="U14" s="53" t="s">
        <v>125</v>
      </c>
      <c r="V14" s="53" t="s">
        <v>181</v>
      </c>
      <c r="W14" s="53" t="s">
        <v>125</v>
      </c>
      <c r="X14" s="53" t="s">
        <v>383</v>
      </c>
      <c r="Y14" s="53" t="s">
        <v>78</v>
      </c>
    </row>
    <row r="15" spans="1:25" ht="15.75" customHeight="1">
      <c r="A15" s="46" t="str">
        <v>Comunicação Social</v>
      </c>
      <c r="B15" s="68">
        <v>3</v>
      </c>
      <c r="C15" s="47">
        <v>0</v>
      </c>
      <c r="D15" s="47">
        <v>0</v>
      </c>
      <c r="E15" s="47">
        <v>2</v>
      </c>
      <c r="F15" s="47">
        <v>0</v>
      </c>
      <c r="G15" s="47">
        <v>0</v>
      </c>
      <c r="H15" s="47">
        <v>0</v>
      </c>
      <c r="I15" s="47">
        <v>1</v>
      </c>
      <c r="M15" s="51"/>
      <c r="R15" s="48">
        <f t="shared" ref="R15:X15" si="0">SUM(C:C)</f>
        <v>87</v>
      </c>
      <c r="S15" s="48">
        <f t="shared" si="0"/>
        <v>38</v>
      </c>
      <c r="T15" s="48">
        <f t="shared" si="0"/>
        <v>91</v>
      </c>
      <c r="U15" s="48">
        <f t="shared" si="0"/>
        <v>10</v>
      </c>
      <c r="V15" s="48">
        <f t="shared" si="0"/>
        <v>13</v>
      </c>
      <c r="W15" s="48">
        <f t="shared" si="0"/>
        <v>16</v>
      </c>
      <c r="X15" s="48">
        <f t="shared" si="0"/>
        <v>71</v>
      </c>
      <c r="Y15" s="48">
        <f>SUM(R15:X15)</f>
        <v>326</v>
      </c>
    </row>
    <row r="16" spans="1:25" ht="15.75" customHeight="1">
      <c r="A16" s="46" t="str">
        <v>Contador</v>
      </c>
      <c r="B16" s="68">
        <v>6</v>
      </c>
      <c r="C16" s="47">
        <v>2</v>
      </c>
      <c r="D16" s="47">
        <v>0</v>
      </c>
      <c r="E16" s="47">
        <v>3</v>
      </c>
      <c r="F16" s="47">
        <v>0</v>
      </c>
      <c r="G16" s="47">
        <v>0</v>
      </c>
      <c r="H16" s="47">
        <v>0</v>
      </c>
      <c r="I16" s="47">
        <v>1</v>
      </c>
      <c r="M16" s="51"/>
    </row>
    <row r="17" spans="1:9" ht="15.75" customHeight="1">
      <c r="A17" s="46" t="str">
        <v>Enfermeiro</v>
      </c>
      <c r="B17" s="68">
        <v>5</v>
      </c>
      <c r="C17" s="47">
        <v>0</v>
      </c>
      <c r="D17" s="47">
        <v>0</v>
      </c>
      <c r="E17" s="47">
        <v>4</v>
      </c>
      <c r="F17" s="47">
        <v>0</v>
      </c>
      <c r="G17" s="47">
        <v>0</v>
      </c>
      <c r="H17" s="47">
        <v>1</v>
      </c>
      <c r="I17" s="47">
        <v>0</v>
      </c>
    </row>
    <row r="18" spans="1:9" ht="15.75" customHeight="1">
      <c r="A18" s="46" t="str">
        <v>Engenheiro Civil</v>
      </c>
      <c r="B18" s="68">
        <v>1</v>
      </c>
      <c r="C18" s="47">
        <v>0</v>
      </c>
      <c r="D18" s="47">
        <v>0</v>
      </c>
      <c r="E18" s="47">
        <v>1</v>
      </c>
      <c r="F18" s="47">
        <v>0</v>
      </c>
      <c r="G18" s="47">
        <v>0</v>
      </c>
      <c r="H18" s="47">
        <v>0</v>
      </c>
      <c r="I18" s="47">
        <v>0</v>
      </c>
    </row>
    <row r="19" spans="1:9" ht="15.75" customHeight="1">
      <c r="A19" s="46" t="str">
        <v>Engenheiro de Segurança do Trabalho</v>
      </c>
      <c r="B19" s="68">
        <v>1</v>
      </c>
      <c r="C19" s="47">
        <v>0</v>
      </c>
      <c r="D19" s="47">
        <v>0</v>
      </c>
      <c r="E19" s="47">
        <v>1</v>
      </c>
      <c r="F19" s="47">
        <v>0</v>
      </c>
      <c r="G19" s="47">
        <v>0</v>
      </c>
      <c r="H19" s="47">
        <v>0</v>
      </c>
      <c r="I19" s="47">
        <v>0</v>
      </c>
    </row>
    <row r="20" spans="1:9" ht="15.75" customHeight="1">
      <c r="A20" s="46" t="str">
        <v>Engenheiro Eletricista</v>
      </c>
      <c r="B20" s="68">
        <v>1</v>
      </c>
      <c r="C20" s="47">
        <v>0</v>
      </c>
      <c r="D20" s="47">
        <v>0</v>
      </c>
      <c r="E20" s="47">
        <v>1</v>
      </c>
      <c r="F20" s="47">
        <v>0</v>
      </c>
      <c r="G20" s="47">
        <v>0</v>
      </c>
      <c r="H20" s="47">
        <v>0</v>
      </c>
      <c r="I20" s="47">
        <v>0</v>
      </c>
    </row>
    <row r="21" spans="1:9" ht="15.75" customHeight="1">
      <c r="A21" s="46" t="str">
        <v>Estatístico</v>
      </c>
      <c r="B21" s="68">
        <v>3</v>
      </c>
      <c r="C21" s="47">
        <v>0</v>
      </c>
      <c r="D21" s="47">
        <v>0</v>
      </c>
      <c r="E21" s="47">
        <v>2</v>
      </c>
      <c r="F21" s="47">
        <v>0</v>
      </c>
      <c r="G21" s="47">
        <v>0</v>
      </c>
      <c r="H21" s="47">
        <v>0</v>
      </c>
      <c r="I21" s="47">
        <v>1</v>
      </c>
    </row>
    <row r="22" spans="1:9" ht="15.75" customHeight="1">
      <c r="A22" s="46" t="str">
        <v>Farmacêutico Bioquímico</v>
      </c>
      <c r="B22" s="68">
        <v>2</v>
      </c>
      <c r="C22" s="47">
        <v>0</v>
      </c>
      <c r="D22" s="47">
        <v>0</v>
      </c>
      <c r="E22" s="47">
        <v>2</v>
      </c>
      <c r="F22" s="47">
        <v>0</v>
      </c>
      <c r="G22" s="47">
        <v>0</v>
      </c>
      <c r="H22" s="47">
        <v>0</v>
      </c>
      <c r="I22" s="47">
        <v>0</v>
      </c>
    </row>
    <row r="23" spans="1:9" ht="15.75" customHeight="1">
      <c r="A23" s="46" t="str">
        <v>Fisioterapeuta</v>
      </c>
      <c r="B23" s="68">
        <v>3</v>
      </c>
      <c r="C23" s="47">
        <v>0</v>
      </c>
      <c r="D23" s="47">
        <v>0</v>
      </c>
      <c r="E23" s="47">
        <v>2</v>
      </c>
      <c r="F23" s="47">
        <v>0</v>
      </c>
      <c r="G23" s="47">
        <v>0</v>
      </c>
      <c r="H23" s="47">
        <v>1</v>
      </c>
      <c r="I23" s="47">
        <v>0</v>
      </c>
    </row>
    <row r="24" spans="1:9" ht="15.75" customHeight="1">
      <c r="A24" s="46" t="str">
        <v>Fonoaudiólogo</v>
      </c>
      <c r="B24" s="68">
        <v>2</v>
      </c>
      <c r="C24" s="47">
        <v>0</v>
      </c>
      <c r="D24" s="47">
        <v>0</v>
      </c>
      <c r="E24" s="47">
        <v>1</v>
      </c>
      <c r="F24" s="47">
        <v>0</v>
      </c>
      <c r="G24" s="47">
        <v>0</v>
      </c>
      <c r="H24" s="47">
        <v>1</v>
      </c>
      <c r="I24" s="47">
        <v>0</v>
      </c>
    </row>
    <row r="25" spans="1:9" ht="15.75" customHeight="1">
      <c r="A25" s="46" t="str">
        <v>Médico (20h)</v>
      </c>
      <c r="B25" s="68">
        <v>9</v>
      </c>
      <c r="C25" s="47">
        <v>6</v>
      </c>
      <c r="D25" s="47">
        <v>0</v>
      </c>
      <c r="E25" s="47">
        <v>2</v>
      </c>
      <c r="F25" s="47">
        <v>0</v>
      </c>
      <c r="G25" s="47">
        <v>0</v>
      </c>
      <c r="H25" s="47">
        <v>1</v>
      </c>
      <c r="I25" s="47">
        <v>0</v>
      </c>
    </row>
    <row r="26" spans="1:9" ht="15.75" customHeight="1">
      <c r="A26" s="46" t="str">
        <v>Médico do Trabalho</v>
      </c>
      <c r="B26" s="68">
        <v>1</v>
      </c>
      <c r="C26" s="47">
        <v>0</v>
      </c>
      <c r="D26" s="47">
        <v>0</v>
      </c>
      <c r="E26" s="47">
        <v>1</v>
      </c>
      <c r="F26" s="47">
        <v>0</v>
      </c>
      <c r="G26" s="47">
        <v>0</v>
      </c>
      <c r="H26" s="47">
        <v>0</v>
      </c>
      <c r="I26" s="47">
        <v>0</v>
      </c>
    </row>
    <row r="27" spans="1:9" ht="15.75" customHeight="1">
      <c r="A27" s="46" t="str">
        <v>Nutricionista</v>
      </c>
      <c r="B27" s="68">
        <v>4</v>
      </c>
      <c r="C27" s="47">
        <v>0</v>
      </c>
      <c r="D27" s="47">
        <v>0</v>
      </c>
      <c r="E27" s="47">
        <v>2</v>
      </c>
      <c r="F27" s="47">
        <v>0</v>
      </c>
      <c r="G27" s="47">
        <v>0</v>
      </c>
      <c r="H27" s="47">
        <v>0</v>
      </c>
      <c r="I27" s="47">
        <v>2</v>
      </c>
    </row>
    <row r="28" spans="1:9" ht="15.75" customHeight="1">
      <c r="A28" s="46" t="str">
        <v>Pedagogo</v>
      </c>
      <c r="B28" s="68">
        <v>4</v>
      </c>
      <c r="C28" s="47">
        <v>1</v>
      </c>
      <c r="D28" s="47">
        <v>0</v>
      </c>
      <c r="E28" s="47">
        <v>3</v>
      </c>
      <c r="F28" s="47">
        <v>0</v>
      </c>
      <c r="G28" s="47">
        <v>0</v>
      </c>
      <c r="H28" s="47">
        <v>0</v>
      </c>
      <c r="I28" s="47">
        <v>0</v>
      </c>
    </row>
    <row r="29" spans="1:9" ht="15.75" customHeight="1">
      <c r="A29" s="46" t="str">
        <v>Professor da Carreira de Magistério do EBTT</v>
      </c>
      <c r="B29" s="68">
        <v>88</v>
      </c>
      <c r="C29" s="47">
        <v>0</v>
      </c>
      <c r="D29" s="47">
        <v>18</v>
      </c>
      <c r="E29" s="47">
        <v>32</v>
      </c>
      <c r="F29" s="47">
        <v>4</v>
      </c>
      <c r="G29" s="47">
        <v>5</v>
      </c>
      <c r="H29" s="47">
        <v>3</v>
      </c>
      <c r="I29" s="47">
        <v>26</v>
      </c>
    </row>
    <row r="30" spans="1:9" ht="15.75" customHeight="1">
      <c r="A30" s="46" t="str">
        <v>Professor da Carreira do Magistério Superior</v>
      </c>
      <c r="B30" s="68">
        <v>43</v>
      </c>
      <c r="C30" s="47">
        <v>36</v>
      </c>
      <c r="D30" s="47">
        <v>0</v>
      </c>
      <c r="E30" s="47">
        <v>0</v>
      </c>
      <c r="F30" s="47">
        <v>0</v>
      </c>
      <c r="G30" s="47">
        <v>7</v>
      </c>
      <c r="H30" s="47">
        <v>0</v>
      </c>
      <c r="I30" s="47">
        <v>0</v>
      </c>
    </row>
    <row r="31" spans="1:9" ht="15.75" customHeight="1">
      <c r="A31" s="46" t="str">
        <v>Psicólogo</v>
      </c>
      <c r="B31" s="68">
        <v>7</v>
      </c>
      <c r="C31" s="47">
        <v>0</v>
      </c>
      <c r="D31" s="47">
        <v>0</v>
      </c>
      <c r="E31" s="47">
        <v>3</v>
      </c>
      <c r="F31" s="47">
        <v>1</v>
      </c>
      <c r="G31" s="47">
        <v>0</v>
      </c>
      <c r="H31" s="47">
        <v>1</v>
      </c>
      <c r="I31" s="47">
        <v>2</v>
      </c>
    </row>
    <row r="32" spans="1:9" ht="15.75" customHeight="1">
      <c r="A32" s="46" t="str">
        <v>Técnico de Informática</v>
      </c>
      <c r="B32" s="68">
        <v>5</v>
      </c>
      <c r="C32" s="47">
        <v>5</v>
      </c>
      <c r="D32" s="47">
        <v>0</v>
      </c>
      <c r="E32" s="47">
        <v>0</v>
      </c>
      <c r="F32" s="47">
        <v>0</v>
      </c>
      <c r="G32" s="47">
        <v>0</v>
      </c>
      <c r="H32" s="47">
        <v>0</v>
      </c>
      <c r="I32" s="47">
        <v>0</v>
      </c>
    </row>
    <row r="33" spans="1:9" ht="15.75" customHeight="1">
      <c r="A33" s="46" t="str">
        <v>Técnico de Laboratório</v>
      </c>
      <c r="B33" s="68">
        <v>3</v>
      </c>
      <c r="C33" s="47">
        <v>0</v>
      </c>
      <c r="D33" s="47">
        <v>0</v>
      </c>
      <c r="E33" s="47">
        <v>2</v>
      </c>
      <c r="F33" s="47">
        <v>0</v>
      </c>
      <c r="G33" s="47">
        <v>0</v>
      </c>
      <c r="H33" s="47">
        <v>1</v>
      </c>
      <c r="I33" s="47">
        <v>0</v>
      </c>
    </row>
    <row r="34" spans="1:9" ht="15.75" customHeight="1">
      <c r="A34" s="46" t="str">
        <v>Técnico em Assuntos Educacionais</v>
      </c>
      <c r="B34" s="68">
        <v>37</v>
      </c>
      <c r="C34" s="47">
        <v>1</v>
      </c>
      <c r="D34" s="47">
        <v>6</v>
      </c>
      <c r="E34" s="47">
        <v>2</v>
      </c>
      <c r="F34" s="47">
        <v>0</v>
      </c>
      <c r="G34" s="47">
        <v>0</v>
      </c>
      <c r="H34" s="47">
        <v>0</v>
      </c>
      <c r="I34" s="47">
        <v>28</v>
      </c>
    </row>
    <row r="35" spans="1:9" ht="15.75" customHeight="1">
      <c r="A35" s="46" t="str">
        <v>Técnico em Enfermagem</v>
      </c>
      <c r="B35" s="68">
        <v>5</v>
      </c>
      <c r="C35" s="47">
        <v>0</v>
      </c>
      <c r="D35" s="47">
        <v>0</v>
      </c>
      <c r="E35" s="47">
        <v>5</v>
      </c>
      <c r="F35" s="47">
        <v>0</v>
      </c>
      <c r="G35" s="47">
        <v>0</v>
      </c>
      <c r="H35" s="47">
        <v>0</v>
      </c>
      <c r="I35" s="47">
        <v>0</v>
      </c>
    </row>
    <row r="36" spans="1:9" ht="15.75" customHeight="1">
      <c r="A36" s="46" t="str">
        <v>Técnico em Radiologia</v>
      </c>
      <c r="B36" s="68">
        <v>3</v>
      </c>
      <c r="C36" s="47">
        <v>1</v>
      </c>
      <c r="D36" s="47">
        <v>0</v>
      </c>
      <c r="E36" s="47">
        <v>2</v>
      </c>
      <c r="F36" s="47">
        <v>0</v>
      </c>
      <c r="G36" s="47">
        <v>0</v>
      </c>
      <c r="H36" s="47">
        <v>0</v>
      </c>
      <c r="I36" s="47">
        <v>0</v>
      </c>
    </row>
    <row r="37" spans="1:9" ht="15.75" customHeight="1">
      <c r="A37" s="46" t="str">
        <v>Técnico-Administrativo em Educação</v>
      </c>
      <c r="B37" s="68">
        <v>1</v>
      </c>
      <c r="C37" s="47">
        <v>0</v>
      </c>
      <c r="D37" s="47">
        <v>0</v>
      </c>
      <c r="E37" s="47">
        <v>0</v>
      </c>
      <c r="F37" s="47">
        <v>0</v>
      </c>
      <c r="G37" s="47">
        <v>1</v>
      </c>
      <c r="H37" s="47">
        <v>0</v>
      </c>
      <c r="I37" s="47">
        <v>0</v>
      </c>
    </row>
    <row r="38" spans="1:9" ht="15.75" customHeight="1">
      <c r="A38" s="46" t="str">
        <v>Terapeuta Ocupacional</v>
      </c>
      <c r="B38" s="68">
        <v>3</v>
      </c>
      <c r="C38" s="47">
        <v>1</v>
      </c>
      <c r="D38" s="47">
        <v>0</v>
      </c>
      <c r="E38" s="47">
        <v>1</v>
      </c>
      <c r="F38" s="47">
        <v>0</v>
      </c>
      <c r="G38" s="47">
        <v>0</v>
      </c>
      <c r="H38" s="47">
        <v>1</v>
      </c>
      <c r="I38" s="47">
        <v>0</v>
      </c>
    </row>
    <row r="39" spans="1:9" ht="15.75" customHeight="1">
      <c r="A39" s="46">
        <v>0</v>
      </c>
      <c r="B39" s="68">
        <v>0</v>
      </c>
      <c r="C39" s="47">
        <v>0</v>
      </c>
      <c r="D39" s="47">
        <v>0</v>
      </c>
      <c r="E39" s="47">
        <v>0</v>
      </c>
      <c r="F39" s="47">
        <v>0</v>
      </c>
      <c r="G39" s="47">
        <v>0</v>
      </c>
      <c r="H39" s="47">
        <v>0</v>
      </c>
      <c r="I39" s="47">
        <v>0</v>
      </c>
    </row>
    <row r="40" spans="1:9" ht="15.75" customHeight="1">
      <c r="A40" s="46"/>
      <c r="B40" s="68">
        <v>0</v>
      </c>
      <c r="C40" s="47">
        <v>0</v>
      </c>
      <c r="D40" s="47">
        <v>0</v>
      </c>
      <c r="E40" s="47">
        <v>0</v>
      </c>
      <c r="F40" s="47">
        <v>0</v>
      </c>
      <c r="G40" s="47">
        <v>0</v>
      </c>
      <c r="H40" s="47">
        <v>0</v>
      </c>
      <c r="I40" s="47">
        <v>0</v>
      </c>
    </row>
    <row r="41" spans="1:9" ht="15.75" customHeight="1">
      <c r="A41" s="46"/>
      <c r="B41" s="68">
        <v>0</v>
      </c>
      <c r="C41" s="47">
        <v>0</v>
      </c>
      <c r="D41" s="47">
        <v>0</v>
      </c>
      <c r="E41" s="47">
        <v>0</v>
      </c>
      <c r="F41" s="47">
        <v>0</v>
      </c>
      <c r="G41" s="47">
        <v>0</v>
      </c>
      <c r="H41" s="47">
        <v>0</v>
      </c>
      <c r="I41" s="47">
        <v>0</v>
      </c>
    </row>
    <row r="42" spans="1:9" ht="15.75" customHeight="1">
      <c r="A42" s="46"/>
      <c r="B42" s="68">
        <v>0</v>
      </c>
      <c r="C42" s="47">
        <v>0</v>
      </c>
      <c r="D42" s="47">
        <v>0</v>
      </c>
      <c r="E42" s="47">
        <v>0</v>
      </c>
      <c r="F42" s="47">
        <v>0</v>
      </c>
      <c r="G42" s="47">
        <v>0</v>
      </c>
      <c r="H42" s="47">
        <v>0</v>
      </c>
      <c r="I42" s="47">
        <v>0</v>
      </c>
    </row>
    <row r="43" spans="1:9" ht="15.75" customHeight="1">
      <c r="A43" s="46"/>
      <c r="B43" s="68">
        <v>0</v>
      </c>
      <c r="C43" s="47">
        <v>0</v>
      </c>
      <c r="D43" s="47">
        <v>0</v>
      </c>
      <c r="E43" s="47">
        <v>0</v>
      </c>
      <c r="F43" s="47">
        <v>0</v>
      </c>
      <c r="G43" s="47">
        <v>0</v>
      </c>
      <c r="H43" s="47">
        <v>0</v>
      </c>
      <c r="I43" s="47">
        <v>0</v>
      </c>
    </row>
    <row r="44" spans="1:9" ht="15.75" customHeight="1">
      <c r="A44" s="46"/>
      <c r="B44" s="68">
        <v>0</v>
      </c>
      <c r="C44" s="47">
        <v>0</v>
      </c>
      <c r="D44" s="47">
        <v>0</v>
      </c>
      <c r="E44" s="47">
        <v>0</v>
      </c>
      <c r="F44" s="47">
        <v>0</v>
      </c>
      <c r="G44" s="47">
        <v>0</v>
      </c>
      <c r="H44" s="47">
        <v>0</v>
      </c>
      <c r="I44" s="47">
        <v>0</v>
      </c>
    </row>
    <row r="45" spans="1:9" ht="15.75" customHeight="1">
      <c r="A45" s="46"/>
      <c r="B45" s="68">
        <v>0</v>
      </c>
      <c r="C45" s="47">
        <v>0</v>
      </c>
      <c r="D45" s="47">
        <v>0</v>
      </c>
      <c r="E45" s="47">
        <v>0</v>
      </c>
      <c r="F45" s="47">
        <v>0</v>
      </c>
      <c r="G45" s="47">
        <v>0</v>
      </c>
      <c r="H45" s="47">
        <v>0</v>
      </c>
      <c r="I45" s="47">
        <v>0</v>
      </c>
    </row>
    <row r="46" spans="1:9" ht="15.75" customHeight="1">
      <c r="A46" s="46"/>
      <c r="B46" s="68">
        <v>0</v>
      </c>
      <c r="C46" s="47">
        <v>0</v>
      </c>
      <c r="D46" s="47">
        <v>0</v>
      </c>
      <c r="E46" s="47">
        <v>0</v>
      </c>
      <c r="F46" s="47">
        <v>0</v>
      </c>
      <c r="G46" s="47">
        <v>0</v>
      </c>
      <c r="H46" s="47">
        <v>0</v>
      </c>
      <c r="I46" s="47">
        <v>0</v>
      </c>
    </row>
    <row r="47" spans="1:9" ht="15.75" customHeight="1">
      <c r="A47" s="46"/>
      <c r="B47" s="68">
        <v>0</v>
      </c>
      <c r="C47" s="47">
        <v>0</v>
      </c>
      <c r="D47" s="47">
        <v>0</v>
      </c>
      <c r="E47" s="47">
        <v>0</v>
      </c>
      <c r="F47" s="47">
        <v>0</v>
      </c>
      <c r="G47" s="47">
        <v>0</v>
      </c>
      <c r="H47" s="47">
        <v>0</v>
      </c>
      <c r="I47" s="47">
        <v>0</v>
      </c>
    </row>
    <row r="48" spans="1:9" ht="15.75" customHeight="1">
      <c r="A48" s="46"/>
      <c r="B48" s="68">
        <v>0</v>
      </c>
      <c r="C48" s="47">
        <v>0</v>
      </c>
      <c r="D48" s="47">
        <v>0</v>
      </c>
      <c r="E48" s="47">
        <v>0</v>
      </c>
      <c r="F48" s="47">
        <v>0</v>
      </c>
      <c r="G48" s="47">
        <v>0</v>
      </c>
      <c r="H48" s="47">
        <v>0</v>
      </c>
      <c r="I48" s="47">
        <v>0</v>
      </c>
    </row>
    <row r="49" spans="1:9" ht="15.75" customHeight="1">
      <c r="A49" s="46"/>
      <c r="B49" s="68">
        <v>0</v>
      </c>
      <c r="C49" s="47">
        <v>0</v>
      </c>
      <c r="D49" s="47">
        <v>0</v>
      </c>
      <c r="E49" s="47">
        <v>0</v>
      </c>
      <c r="F49" s="47">
        <v>0</v>
      </c>
      <c r="G49" s="47">
        <v>0</v>
      </c>
      <c r="H49" s="47">
        <v>0</v>
      </c>
      <c r="I49" s="47">
        <v>0</v>
      </c>
    </row>
    <row r="50" spans="1:9" ht="15.75" customHeight="1">
      <c r="A50" s="46"/>
      <c r="B50" s="68">
        <v>0</v>
      </c>
      <c r="C50" s="47">
        <v>0</v>
      </c>
      <c r="D50" s="47">
        <v>0</v>
      </c>
      <c r="E50" s="47">
        <v>0</v>
      </c>
      <c r="F50" s="47">
        <v>0</v>
      </c>
      <c r="G50" s="47">
        <v>0</v>
      </c>
      <c r="H50" s="47">
        <v>0</v>
      </c>
      <c r="I50" s="47">
        <v>0</v>
      </c>
    </row>
    <row r="51" spans="1:9" ht="15.75" customHeight="1">
      <c r="A51" s="46"/>
      <c r="B51" s="68">
        <v>0</v>
      </c>
      <c r="C51" s="47">
        <v>0</v>
      </c>
      <c r="D51" s="47">
        <v>0</v>
      </c>
      <c r="E51" s="47">
        <v>0</v>
      </c>
      <c r="F51" s="47">
        <v>0</v>
      </c>
      <c r="G51" s="47">
        <v>0</v>
      </c>
      <c r="H51" s="47">
        <v>0</v>
      </c>
      <c r="I51" s="47">
        <v>0</v>
      </c>
    </row>
    <row r="52" spans="1:9" ht="15.75" customHeight="1">
      <c r="A52" s="46"/>
      <c r="B52" s="68">
        <v>0</v>
      </c>
      <c r="C52" s="47">
        <v>0</v>
      </c>
      <c r="D52" s="47">
        <v>0</v>
      </c>
      <c r="E52" s="47">
        <v>0</v>
      </c>
      <c r="F52" s="47">
        <v>0</v>
      </c>
      <c r="G52" s="47">
        <v>0</v>
      </c>
      <c r="H52" s="47">
        <v>0</v>
      </c>
      <c r="I52" s="47">
        <v>0</v>
      </c>
    </row>
    <row r="53" spans="1:9" ht="15.75" customHeight="1">
      <c r="A53" s="46"/>
      <c r="B53" s="68">
        <v>0</v>
      </c>
      <c r="C53" s="47">
        <v>0</v>
      </c>
      <c r="D53" s="47">
        <v>0</v>
      </c>
      <c r="E53" s="47">
        <v>0</v>
      </c>
      <c r="F53" s="47">
        <v>0</v>
      </c>
      <c r="G53" s="47">
        <v>0</v>
      </c>
      <c r="H53" s="47">
        <v>0</v>
      </c>
      <c r="I53" s="47">
        <v>0</v>
      </c>
    </row>
    <row r="54" spans="1:9" ht="15.75" customHeight="1">
      <c r="A54" s="46"/>
      <c r="B54" s="68">
        <v>0</v>
      </c>
      <c r="C54" s="47">
        <v>0</v>
      </c>
      <c r="D54" s="47">
        <v>0</v>
      </c>
      <c r="E54" s="47">
        <v>0</v>
      </c>
      <c r="F54" s="47">
        <v>0</v>
      </c>
      <c r="G54" s="47">
        <v>0</v>
      </c>
      <c r="H54" s="47">
        <v>0</v>
      </c>
      <c r="I54" s="47">
        <v>0</v>
      </c>
    </row>
    <row r="55" spans="1:9" ht="15.75" customHeight="1">
      <c r="A55" s="46"/>
      <c r="B55" s="68">
        <v>0</v>
      </c>
      <c r="C55" s="47">
        <v>0</v>
      </c>
      <c r="D55" s="47">
        <v>0</v>
      </c>
      <c r="E55" s="47">
        <v>0</v>
      </c>
      <c r="F55" s="47">
        <v>0</v>
      </c>
      <c r="G55" s="47">
        <v>0</v>
      </c>
      <c r="H55" s="47">
        <v>0</v>
      </c>
      <c r="I55" s="47">
        <v>0</v>
      </c>
    </row>
    <row r="56" spans="1:9" ht="15.75" customHeight="1">
      <c r="A56" s="46"/>
      <c r="B56" s="68">
        <v>0</v>
      </c>
      <c r="C56" s="47">
        <v>0</v>
      </c>
      <c r="D56" s="47">
        <v>0</v>
      </c>
      <c r="E56" s="47">
        <v>0</v>
      </c>
      <c r="F56" s="47">
        <v>0</v>
      </c>
      <c r="G56" s="47">
        <v>0</v>
      </c>
      <c r="H56" s="47">
        <v>0</v>
      </c>
      <c r="I56" s="47">
        <v>0</v>
      </c>
    </row>
    <row r="57" spans="1:9" ht="15.75" customHeight="1">
      <c r="A57" s="46"/>
      <c r="B57" s="68">
        <v>0</v>
      </c>
      <c r="C57" s="47">
        <v>0</v>
      </c>
      <c r="D57" s="47">
        <v>0</v>
      </c>
      <c r="E57" s="47">
        <v>0</v>
      </c>
      <c r="F57" s="47">
        <v>0</v>
      </c>
      <c r="G57" s="47">
        <v>0</v>
      </c>
      <c r="H57" s="47">
        <v>0</v>
      </c>
      <c r="I57" s="47">
        <v>0</v>
      </c>
    </row>
    <row r="58" spans="1:9" ht="15.75" customHeight="1">
      <c r="A58" s="46"/>
      <c r="B58" s="68">
        <v>0</v>
      </c>
      <c r="C58" s="47">
        <v>0</v>
      </c>
      <c r="D58" s="47">
        <v>0</v>
      </c>
      <c r="E58" s="47">
        <v>0</v>
      </c>
      <c r="F58" s="47">
        <v>0</v>
      </c>
      <c r="G58" s="47">
        <v>0</v>
      </c>
      <c r="H58" s="47">
        <v>0</v>
      </c>
      <c r="I58" s="47">
        <v>0</v>
      </c>
    </row>
    <row r="59" spans="1:9" ht="15.75" customHeight="1">
      <c r="A59" s="46"/>
      <c r="B59" s="68">
        <v>0</v>
      </c>
      <c r="C59" s="47">
        <v>0</v>
      </c>
      <c r="D59" s="47">
        <v>0</v>
      </c>
      <c r="E59" s="47">
        <v>0</v>
      </c>
      <c r="F59" s="47">
        <v>0</v>
      </c>
      <c r="G59" s="47">
        <v>0</v>
      </c>
      <c r="H59" s="47">
        <v>0</v>
      </c>
      <c r="I59" s="47">
        <v>0</v>
      </c>
    </row>
    <row r="60" spans="1:9" ht="15.75" customHeight="1">
      <c r="A60" s="46"/>
      <c r="B60" s="68">
        <v>0</v>
      </c>
      <c r="C60" s="47">
        <v>0</v>
      </c>
      <c r="D60" s="47">
        <v>0</v>
      </c>
      <c r="E60" s="47">
        <v>0</v>
      </c>
      <c r="F60" s="47">
        <v>0</v>
      </c>
      <c r="G60" s="47">
        <v>0</v>
      </c>
      <c r="H60" s="47">
        <v>0</v>
      </c>
      <c r="I60" s="47">
        <v>0</v>
      </c>
    </row>
    <row r="61" spans="1:9" ht="15.75" customHeight="1">
      <c r="A61" s="46"/>
      <c r="B61" s="68">
        <v>0</v>
      </c>
      <c r="C61" s="47">
        <v>0</v>
      </c>
      <c r="D61" s="47">
        <v>0</v>
      </c>
      <c r="E61" s="47">
        <v>0</v>
      </c>
      <c r="F61" s="47">
        <v>0</v>
      </c>
      <c r="G61" s="47">
        <v>0</v>
      </c>
      <c r="H61" s="47">
        <v>0</v>
      </c>
      <c r="I61" s="47">
        <v>0</v>
      </c>
    </row>
    <row r="62" spans="1:9" ht="15.75" customHeight="1">
      <c r="A62" s="46"/>
      <c r="B62" s="68">
        <v>0</v>
      </c>
      <c r="C62" s="47">
        <v>0</v>
      </c>
      <c r="D62" s="47">
        <v>0</v>
      </c>
      <c r="E62" s="47">
        <v>0</v>
      </c>
      <c r="F62" s="47">
        <v>0</v>
      </c>
      <c r="G62" s="47">
        <v>0</v>
      </c>
      <c r="H62" s="47">
        <v>0</v>
      </c>
      <c r="I62" s="47">
        <v>0</v>
      </c>
    </row>
    <row r="63" spans="1:9" ht="15.75" customHeight="1">
      <c r="A63" s="46"/>
      <c r="B63" s="68">
        <v>0</v>
      </c>
      <c r="C63" s="47">
        <v>0</v>
      </c>
      <c r="D63" s="47">
        <v>0</v>
      </c>
      <c r="E63" s="47">
        <v>0</v>
      </c>
      <c r="F63" s="47">
        <v>0</v>
      </c>
      <c r="G63" s="47">
        <v>0</v>
      </c>
      <c r="H63" s="47">
        <v>0</v>
      </c>
      <c r="I63" s="47">
        <v>0</v>
      </c>
    </row>
    <row r="64" spans="1:9" ht="15.75" customHeight="1">
      <c r="A64" s="46"/>
      <c r="B64" s="68">
        <v>0</v>
      </c>
      <c r="C64" s="47">
        <v>0</v>
      </c>
      <c r="D64" s="47">
        <v>0</v>
      </c>
      <c r="E64" s="47">
        <v>0</v>
      </c>
      <c r="F64" s="47">
        <v>0</v>
      </c>
      <c r="G64" s="47">
        <v>0</v>
      </c>
      <c r="H64" s="47">
        <v>0</v>
      </c>
      <c r="I64" s="47">
        <v>0</v>
      </c>
    </row>
    <row r="65" spans="1:9" ht="15.75" customHeight="1">
      <c r="A65" s="46"/>
      <c r="B65" s="68">
        <v>0</v>
      </c>
      <c r="C65" s="47">
        <v>0</v>
      </c>
      <c r="D65" s="47">
        <v>0</v>
      </c>
      <c r="E65" s="47">
        <v>0</v>
      </c>
      <c r="F65" s="47">
        <v>0</v>
      </c>
      <c r="G65" s="47">
        <v>0</v>
      </c>
      <c r="H65" s="47">
        <v>0</v>
      </c>
      <c r="I65" s="47">
        <v>0</v>
      </c>
    </row>
    <row r="66" spans="1:9" ht="15.75" customHeight="1">
      <c r="A66" s="46"/>
      <c r="B66" s="68">
        <v>0</v>
      </c>
      <c r="C66" s="47">
        <v>0</v>
      </c>
      <c r="D66" s="47">
        <v>0</v>
      </c>
      <c r="E66" s="47">
        <v>0</v>
      </c>
      <c r="F66" s="47">
        <v>0</v>
      </c>
      <c r="G66" s="47">
        <v>0</v>
      </c>
      <c r="H66" s="47">
        <v>0</v>
      </c>
      <c r="I66" s="47">
        <v>0</v>
      </c>
    </row>
    <row r="67" spans="1:9" ht="15.75" customHeight="1">
      <c r="A67" s="46"/>
      <c r="B67" s="68">
        <v>0</v>
      </c>
      <c r="C67" s="47">
        <v>0</v>
      </c>
      <c r="D67" s="47">
        <v>0</v>
      </c>
      <c r="E67" s="47">
        <v>0</v>
      </c>
      <c r="F67" s="47">
        <v>0</v>
      </c>
      <c r="G67" s="47">
        <v>0</v>
      </c>
      <c r="H67" s="47">
        <v>0</v>
      </c>
      <c r="I67" s="47">
        <v>0</v>
      </c>
    </row>
    <row r="68" spans="1:9" ht="15.75" customHeight="1">
      <c r="A68" s="46"/>
      <c r="B68" s="68">
        <v>0</v>
      </c>
      <c r="C68" s="47">
        <v>0</v>
      </c>
      <c r="D68" s="47">
        <v>0</v>
      </c>
      <c r="E68" s="47">
        <v>0</v>
      </c>
      <c r="F68" s="47">
        <v>0</v>
      </c>
      <c r="G68" s="47">
        <v>0</v>
      </c>
      <c r="H68" s="47">
        <v>0</v>
      </c>
      <c r="I68" s="47">
        <v>0</v>
      </c>
    </row>
    <row r="69" spans="1:9" ht="15.75" customHeight="1">
      <c r="A69" s="46"/>
      <c r="B69" s="68">
        <v>0</v>
      </c>
      <c r="C69" s="47">
        <v>0</v>
      </c>
      <c r="D69" s="47">
        <v>0</v>
      </c>
      <c r="E69" s="47">
        <v>0</v>
      </c>
      <c r="F69" s="47">
        <v>0</v>
      </c>
      <c r="G69" s="47">
        <v>0</v>
      </c>
      <c r="H69" s="47">
        <v>0</v>
      </c>
      <c r="I69" s="47">
        <v>0</v>
      </c>
    </row>
    <row r="70" spans="1:9" ht="15.75" customHeight="1">
      <c r="A70" s="46"/>
      <c r="B70" s="68">
        <v>0</v>
      </c>
      <c r="C70" s="47">
        <v>0</v>
      </c>
      <c r="D70" s="47">
        <v>0</v>
      </c>
      <c r="E70" s="47">
        <v>0</v>
      </c>
      <c r="F70" s="47">
        <v>0</v>
      </c>
      <c r="G70" s="47">
        <v>0</v>
      </c>
      <c r="H70" s="47">
        <v>0</v>
      </c>
      <c r="I70" s="47">
        <v>0</v>
      </c>
    </row>
    <row r="71" spans="1:9" ht="15.75" customHeight="1">
      <c r="A71" s="46"/>
      <c r="B71" s="68">
        <v>0</v>
      </c>
      <c r="C71" s="47">
        <v>0</v>
      </c>
      <c r="D71" s="47">
        <v>0</v>
      </c>
      <c r="E71" s="47">
        <v>0</v>
      </c>
      <c r="F71" s="47">
        <v>0</v>
      </c>
      <c r="G71" s="47">
        <v>0</v>
      </c>
      <c r="H71" s="47">
        <v>0</v>
      </c>
      <c r="I71" s="47">
        <v>0</v>
      </c>
    </row>
    <row r="72" spans="1:9" ht="15.75" customHeight="1">
      <c r="A72" s="46"/>
      <c r="B72" s="68">
        <v>0</v>
      </c>
      <c r="C72" s="47">
        <v>0</v>
      </c>
      <c r="D72" s="47">
        <v>0</v>
      </c>
      <c r="E72" s="47">
        <v>0</v>
      </c>
      <c r="F72" s="47">
        <v>0</v>
      </c>
      <c r="G72" s="47">
        <v>0</v>
      </c>
      <c r="H72" s="47">
        <v>0</v>
      </c>
      <c r="I72" s="47">
        <v>0</v>
      </c>
    </row>
    <row r="73" spans="1:9" ht="15.75" customHeight="1">
      <c r="A73" s="46"/>
      <c r="B73" s="68">
        <v>0</v>
      </c>
      <c r="C73" s="47">
        <v>0</v>
      </c>
      <c r="D73" s="47">
        <v>0</v>
      </c>
      <c r="E73" s="47">
        <v>0</v>
      </c>
      <c r="F73" s="47">
        <v>0</v>
      </c>
      <c r="G73" s="47">
        <v>0</v>
      </c>
      <c r="H73" s="47">
        <v>0</v>
      </c>
      <c r="I73" s="47">
        <v>0</v>
      </c>
    </row>
    <row r="74" spans="1:9" ht="15.75" customHeight="1">
      <c r="A74" s="46"/>
      <c r="B74" s="68">
        <v>0</v>
      </c>
      <c r="C74" s="47">
        <v>0</v>
      </c>
      <c r="D74" s="47">
        <v>0</v>
      </c>
      <c r="E74" s="47">
        <v>0</v>
      </c>
      <c r="F74" s="47">
        <v>0</v>
      </c>
      <c r="G74" s="47">
        <v>0</v>
      </c>
      <c r="H74" s="47">
        <v>0</v>
      </c>
      <c r="I74" s="47">
        <v>0</v>
      </c>
    </row>
    <row r="75" spans="1:9" ht="15.75" customHeight="1">
      <c r="A75" s="46"/>
      <c r="B75" s="68">
        <v>0</v>
      </c>
      <c r="C75" s="47">
        <v>0</v>
      </c>
      <c r="D75" s="47">
        <v>0</v>
      </c>
      <c r="E75" s="47">
        <v>0</v>
      </c>
      <c r="F75" s="47">
        <v>0</v>
      </c>
      <c r="G75" s="47">
        <v>0</v>
      </c>
      <c r="H75" s="47">
        <v>0</v>
      </c>
      <c r="I75" s="47">
        <v>0</v>
      </c>
    </row>
    <row r="76" spans="1:9" ht="15.75" customHeight="1">
      <c r="A76" s="46"/>
      <c r="B76" s="68">
        <v>0</v>
      </c>
      <c r="C76" s="47">
        <v>0</v>
      </c>
      <c r="D76" s="47">
        <v>0</v>
      </c>
      <c r="E76" s="47">
        <v>0</v>
      </c>
      <c r="F76" s="47">
        <v>0</v>
      </c>
      <c r="G76" s="47">
        <v>0</v>
      </c>
      <c r="H76" s="47">
        <v>0</v>
      </c>
      <c r="I76" s="47">
        <v>0</v>
      </c>
    </row>
    <row r="77" spans="1:9" ht="15.75" customHeight="1">
      <c r="A77" s="46"/>
      <c r="B77" s="68">
        <v>0</v>
      </c>
      <c r="C77" s="47">
        <v>0</v>
      </c>
      <c r="D77" s="47">
        <v>0</v>
      </c>
      <c r="E77" s="47">
        <v>0</v>
      </c>
      <c r="F77" s="47">
        <v>0</v>
      </c>
      <c r="G77" s="47">
        <v>0</v>
      </c>
      <c r="H77" s="47">
        <v>0</v>
      </c>
      <c r="I77" s="47">
        <v>0</v>
      </c>
    </row>
    <row r="78" spans="1:9" ht="15.75" customHeight="1">
      <c r="A78" s="46"/>
      <c r="B78" s="68">
        <v>0</v>
      </c>
      <c r="C78" s="47">
        <v>0</v>
      </c>
      <c r="D78" s="47">
        <v>0</v>
      </c>
      <c r="E78" s="47">
        <v>0</v>
      </c>
      <c r="F78" s="47">
        <v>0</v>
      </c>
      <c r="G78" s="47">
        <v>0</v>
      </c>
      <c r="H78" s="47">
        <v>0</v>
      </c>
      <c r="I78" s="47">
        <v>0</v>
      </c>
    </row>
    <row r="79" spans="1:9" ht="15.75" customHeight="1">
      <c r="A79" s="46"/>
      <c r="B79" s="68">
        <v>0</v>
      </c>
      <c r="C79" s="47">
        <v>0</v>
      </c>
      <c r="D79" s="47">
        <v>0</v>
      </c>
      <c r="E79" s="47">
        <v>0</v>
      </c>
      <c r="F79" s="47">
        <v>0</v>
      </c>
      <c r="G79" s="47">
        <v>0</v>
      </c>
      <c r="H79" s="47">
        <v>0</v>
      </c>
      <c r="I79" s="47">
        <v>0</v>
      </c>
    </row>
    <row r="80" spans="1:9" ht="15.75" customHeight="1">
      <c r="A80" s="46"/>
      <c r="B80" s="68">
        <v>0</v>
      </c>
      <c r="C80" s="47">
        <v>0</v>
      </c>
      <c r="D80" s="47">
        <v>0</v>
      </c>
      <c r="E80" s="47">
        <v>0</v>
      </c>
      <c r="F80" s="47">
        <v>0</v>
      </c>
      <c r="G80" s="47">
        <v>0</v>
      </c>
      <c r="H80" s="47">
        <v>0</v>
      </c>
      <c r="I80" s="47">
        <v>0</v>
      </c>
    </row>
    <row r="81" spans="1:9" ht="15.75" customHeight="1">
      <c r="A81" s="46"/>
      <c r="B81" s="68">
        <v>0</v>
      </c>
      <c r="C81" s="47">
        <v>0</v>
      </c>
      <c r="D81" s="47">
        <v>0</v>
      </c>
      <c r="E81" s="47">
        <v>0</v>
      </c>
      <c r="F81" s="47">
        <v>0</v>
      </c>
      <c r="G81" s="47">
        <v>0</v>
      </c>
      <c r="H81" s="47">
        <v>0</v>
      </c>
      <c r="I81" s="47">
        <v>0</v>
      </c>
    </row>
    <row r="82" spans="1:9" ht="15.75" customHeight="1">
      <c r="A82" s="46"/>
      <c r="B82" s="68">
        <v>0</v>
      </c>
      <c r="C82" s="47">
        <v>0</v>
      </c>
      <c r="D82" s="47">
        <v>0</v>
      </c>
      <c r="E82" s="47">
        <v>0</v>
      </c>
      <c r="F82" s="47">
        <v>0</v>
      </c>
      <c r="G82" s="47">
        <v>0</v>
      </c>
      <c r="H82" s="47">
        <v>0</v>
      </c>
      <c r="I82" s="47">
        <v>0</v>
      </c>
    </row>
    <row r="83" spans="1:9" ht="15.75" customHeight="1">
      <c r="A83" s="46"/>
      <c r="B83" s="68">
        <v>0</v>
      </c>
      <c r="C83" s="47">
        <v>0</v>
      </c>
      <c r="D83" s="47">
        <v>0</v>
      </c>
      <c r="E83" s="47">
        <v>0</v>
      </c>
      <c r="F83" s="47">
        <v>0</v>
      </c>
      <c r="G83" s="47">
        <v>0</v>
      </c>
      <c r="H83" s="47">
        <v>0</v>
      </c>
      <c r="I83" s="47">
        <v>0</v>
      </c>
    </row>
    <row r="84" spans="1:9" ht="15.75" customHeight="1">
      <c r="A84" s="46"/>
      <c r="B84" s="68">
        <v>0</v>
      </c>
      <c r="C84" s="47">
        <v>0</v>
      </c>
      <c r="D84" s="47">
        <v>0</v>
      </c>
      <c r="E84" s="47">
        <v>0</v>
      </c>
      <c r="F84" s="47">
        <v>0</v>
      </c>
      <c r="G84" s="47">
        <v>0</v>
      </c>
      <c r="H84" s="47">
        <v>0</v>
      </c>
      <c r="I84" s="47">
        <v>0</v>
      </c>
    </row>
    <row r="85" spans="1:9" ht="15.75" customHeight="1">
      <c r="A85" s="46"/>
      <c r="B85" s="68">
        <v>0</v>
      </c>
      <c r="C85" s="47">
        <v>0</v>
      </c>
      <c r="D85" s="47">
        <v>0</v>
      </c>
      <c r="E85" s="47">
        <v>0</v>
      </c>
      <c r="F85" s="47">
        <v>0</v>
      </c>
      <c r="G85" s="47">
        <v>0</v>
      </c>
      <c r="H85" s="47">
        <v>0</v>
      </c>
      <c r="I85" s="47">
        <v>0</v>
      </c>
    </row>
    <row r="86" spans="1:9" ht="15.75" customHeight="1">
      <c r="A86" s="46"/>
      <c r="B86" s="68">
        <v>0</v>
      </c>
      <c r="C86" s="47">
        <v>0</v>
      </c>
      <c r="D86" s="47">
        <v>0</v>
      </c>
      <c r="E86" s="47">
        <v>0</v>
      </c>
      <c r="F86" s="47">
        <v>0</v>
      </c>
      <c r="G86" s="47">
        <v>0</v>
      </c>
      <c r="H86" s="47">
        <v>0</v>
      </c>
      <c r="I86" s="47">
        <v>0</v>
      </c>
    </row>
    <row r="87" spans="1:9" ht="15.75" customHeight="1">
      <c r="A87" s="46"/>
      <c r="B87" s="68">
        <v>0</v>
      </c>
      <c r="C87" s="47">
        <v>0</v>
      </c>
      <c r="D87" s="47">
        <v>0</v>
      </c>
      <c r="E87" s="47">
        <v>0</v>
      </c>
      <c r="F87" s="47">
        <v>0</v>
      </c>
      <c r="G87" s="47">
        <v>0</v>
      </c>
      <c r="H87" s="47">
        <v>0</v>
      </c>
      <c r="I87" s="47">
        <v>0</v>
      </c>
    </row>
    <row r="88" spans="1:9" ht="15.75" customHeight="1">
      <c r="A88" s="46"/>
      <c r="B88" s="68">
        <v>0</v>
      </c>
      <c r="C88" s="47">
        <v>0</v>
      </c>
      <c r="D88" s="47">
        <v>0</v>
      </c>
      <c r="E88" s="47">
        <v>0</v>
      </c>
      <c r="F88" s="47">
        <v>0</v>
      </c>
      <c r="G88" s="47">
        <v>0</v>
      </c>
      <c r="H88" s="47">
        <v>0</v>
      </c>
      <c r="I88" s="47">
        <v>0</v>
      </c>
    </row>
    <row r="89" spans="1:9" ht="15.75" customHeight="1">
      <c r="A89" s="46"/>
      <c r="B89" s="68">
        <v>0</v>
      </c>
      <c r="C89" s="47">
        <v>0</v>
      </c>
      <c r="D89" s="47">
        <v>0</v>
      </c>
      <c r="E89" s="47">
        <v>0</v>
      </c>
      <c r="F89" s="47">
        <v>0</v>
      </c>
      <c r="G89" s="47">
        <v>0</v>
      </c>
      <c r="H89" s="47">
        <v>0</v>
      </c>
      <c r="I89" s="47">
        <v>0</v>
      </c>
    </row>
    <row r="90" spans="1:9" ht="15.75" customHeight="1">
      <c r="A90" s="46"/>
      <c r="B90" s="68">
        <v>0</v>
      </c>
      <c r="C90" s="47">
        <v>0</v>
      </c>
      <c r="D90" s="47">
        <v>0</v>
      </c>
      <c r="E90" s="47">
        <v>0</v>
      </c>
      <c r="F90" s="47">
        <v>0</v>
      </c>
      <c r="G90" s="47">
        <v>0</v>
      </c>
      <c r="H90" s="47">
        <v>0</v>
      </c>
      <c r="I90" s="47">
        <v>0</v>
      </c>
    </row>
    <row r="91" spans="1:9" ht="15.75" customHeight="1">
      <c r="A91" s="46"/>
      <c r="B91" s="68">
        <v>0</v>
      </c>
      <c r="C91" s="47">
        <v>0</v>
      </c>
      <c r="D91" s="47">
        <v>0</v>
      </c>
      <c r="E91" s="47">
        <v>0</v>
      </c>
      <c r="F91" s="47">
        <v>0</v>
      </c>
      <c r="G91" s="47">
        <v>0</v>
      </c>
      <c r="H91" s="47">
        <v>0</v>
      </c>
      <c r="I91" s="47">
        <v>0</v>
      </c>
    </row>
    <row r="92" spans="1:9" ht="15.75" customHeight="1">
      <c r="A92" s="46"/>
      <c r="B92" s="68">
        <v>0</v>
      </c>
      <c r="C92" s="47">
        <v>0</v>
      </c>
      <c r="D92" s="47">
        <v>0</v>
      </c>
      <c r="E92" s="47">
        <v>0</v>
      </c>
      <c r="F92" s="47">
        <v>0</v>
      </c>
      <c r="G92" s="47">
        <v>0</v>
      </c>
      <c r="H92" s="47">
        <v>0</v>
      </c>
      <c r="I92" s="47">
        <v>0</v>
      </c>
    </row>
    <row r="93" spans="1:9" ht="15.75" customHeight="1">
      <c r="B93" s="67">
        <v>0</v>
      </c>
      <c r="C93" s="48">
        <v>0</v>
      </c>
      <c r="D93" s="48">
        <v>0</v>
      </c>
      <c r="E93" s="48">
        <v>0</v>
      </c>
      <c r="F93" s="48">
        <v>0</v>
      </c>
      <c r="G93" s="48">
        <v>0</v>
      </c>
      <c r="H93" s="48">
        <v>0</v>
      </c>
      <c r="I93" s="48">
        <v>0</v>
      </c>
    </row>
    <row r="94" spans="1:9" ht="15.75" customHeight="1">
      <c r="B94" s="67">
        <v>0</v>
      </c>
      <c r="C94" s="48">
        <v>0</v>
      </c>
      <c r="D94" s="48">
        <v>0</v>
      </c>
      <c r="E94" s="48">
        <v>0</v>
      </c>
      <c r="F94" s="48">
        <v>0</v>
      </c>
      <c r="G94" s="48">
        <v>0</v>
      </c>
      <c r="H94" s="48">
        <v>0</v>
      </c>
      <c r="I94" s="48">
        <v>0</v>
      </c>
    </row>
    <row r="95" spans="1:9" ht="15.75" customHeight="1">
      <c r="B95" s="67">
        <v>0</v>
      </c>
      <c r="C95" s="48">
        <v>0</v>
      </c>
      <c r="D95" s="48">
        <v>0</v>
      </c>
      <c r="E95" s="48">
        <v>0</v>
      </c>
      <c r="F95" s="48">
        <v>0</v>
      </c>
      <c r="G95" s="48">
        <v>0</v>
      </c>
      <c r="H95" s="48">
        <v>0</v>
      </c>
      <c r="I95" s="48">
        <v>0</v>
      </c>
    </row>
    <row r="96" spans="1:9" ht="15.75" customHeight="1">
      <c r="B96" s="67">
        <v>0</v>
      </c>
      <c r="C96" s="48">
        <v>0</v>
      </c>
      <c r="D96" s="48">
        <v>0</v>
      </c>
      <c r="E96" s="48">
        <v>0</v>
      </c>
      <c r="F96" s="48">
        <v>0</v>
      </c>
      <c r="G96" s="48">
        <v>0</v>
      </c>
      <c r="H96" s="48">
        <v>0</v>
      </c>
      <c r="I96" s="48">
        <v>0</v>
      </c>
    </row>
    <row r="97" spans="2:9" ht="15.75" customHeight="1">
      <c r="B97" s="67">
        <v>0</v>
      </c>
      <c r="C97" s="48">
        <v>0</v>
      </c>
      <c r="D97" s="48">
        <v>0</v>
      </c>
      <c r="E97" s="48">
        <v>0</v>
      </c>
      <c r="F97" s="48">
        <v>0</v>
      </c>
      <c r="G97" s="48">
        <v>0</v>
      </c>
      <c r="H97" s="48">
        <v>0</v>
      </c>
      <c r="I97" s="48">
        <v>0</v>
      </c>
    </row>
    <row r="98" spans="2:9" ht="15.75" customHeight="1">
      <c r="B98" s="67">
        <v>0</v>
      </c>
      <c r="C98" s="48">
        <v>0</v>
      </c>
      <c r="D98" s="48">
        <v>0</v>
      </c>
      <c r="E98" s="48">
        <v>0</v>
      </c>
      <c r="F98" s="48">
        <v>0</v>
      </c>
      <c r="G98" s="48">
        <v>0</v>
      </c>
      <c r="H98" s="48">
        <v>0</v>
      </c>
      <c r="I98" s="48">
        <v>0</v>
      </c>
    </row>
    <row r="99" spans="2:9" ht="15.75" customHeight="1">
      <c r="B99" s="67">
        <v>0</v>
      </c>
      <c r="C99" s="48">
        <v>0</v>
      </c>
      <c r="D99" s="48">
        <v>0</v>
      </c>
      <c r="E99" s="48">
        <v>0</v>
      </c>
      <c r="F99" s="48">
        <v>0</v>
      </c>
      <c r="G99" s="48">
        <v>0</v>
      </c>
      <c r="H99" s="48">
        <v>0</v>
      </c>
      <c r="I99" s="48">
        <v>0</v>
      </c>
    </row>
    <row r="100" spans="2:9" ht="15.75" customHeight="1">
      <c r="B100" s="67">
        <v>0</v>
      </c>
      <c r="C100" s="48">
        <v>0</v>
      </c>
      <c r="D100" s="48">
        <v>0</v>
      </c>
      <c r="E100" s="48">
        <v>0</v>
      </c>
      <c r="F100" s="48">
        <v>0</v>
      </c>
      <c r="G100" s="48">
        <v>0</v>
      </c>
      <c r="H100" s="48">
        <v>0</v>
      </c>
      <c r="I100" s="48">
        <v>0</v>
      </c>
    </row>
    <row r="101" spans="2:9" ht="15.75" customHeight="1">
      <c r="B101" s="67">
        <v>0</v>
      </c>
      <c r="C101" s="48">
        <v>0</v>
      </c>
      <c r="D101" s="48">
        <v>0</v>
      </c>
      <c r="E101" s="48">
        <v>0</v>
      </c>
      <c r="F101" s="48">
        <v>0</v>
      </c>
      <c r="G101" s="48">
        <v>0</v>
      </c>
      <c r="H101" s="48">
        <v>0</v>
      </c>
      <c r="I101" s="48">
        <v>0</v>
      </c>
    </row>
    <row r="102" spans="2:9" ht="15.75" customHeight="1">
      <c r="B102" s="67">
        <v>0</v>
      </c>
      <c r="C102" s="48">
        <v>0</v>
      </c>
      <c r="D102" s="48">
        <v>0</v>
      </c>
      <c r="E102" s="48">
        <v>0</v>
      </c>
      <c r="F102" s="48">
        <v>0</v>
      </c>
      <c r="G102" s="48">
        <v>0</v>
      </c>
      <c r="H102" s="48">
        <v>0</v>
      </c>
      <c r="I102" s="48">
        <v>0</v>
      </c>
    </row>
    <row r="103" spans="2:9" ht="15.75" customHeight="1">
      <c r="B103" s="67">
        <v>0</v>
      </c>
      <c r="C103" s="48">
        <v>0</v>
      </c>
      <c r="D103" s="48">
        <v>0</v>
      </c>
      <c r="E103" s="48">
        <v>0</v>
      </c>
      <c r="F103" s="48">
        <v>0</v>
      </c>
      <c r="G103" s="48">
        <v>0</v>
      </c>
      <c r="H103" s="48">
        <v>0</v>
      </c>
      <c r="I103" s="48">
        <v>0</v>
      </c>
    </row>
    <row r="104" spans="2:9" ht="15.75" customHeight="1">
      <c r="B104" s="67">
        <v>0</v>
      </c>
      <c r="C104" s="48">
        <v>0</v>
      </c>
      <c r="D104" s="48">
        <v>0</v>
      </c>
      <c r="E104" s="48">
        <v>0</v>
      </c>
      <c r="F104" s="48">
        <v>0</v>
      </c>
      <c r="G104" s="48">
        <v>0</v>
      </c>
      <c r="H104" s="48">
        <v>0</v>
      </c>
      <c r="I104" s="48">
        <v>0</v>
      </c>
    </row>
    <row r="105" spans="2:9" ht="15.75" customHeight="1">
      <c r="B105" s="67">
        <v>0</v>
      </c>
      <c r="C105" s="48">
        <v>0</v>
      </c>
      <c r="D105" s="48">
        <v>0</v>
      </c>
      <c r="E105" s="48">
        <v>0</v>
      </c>
      <c r="F105" s="48">
        <v>0</v>
      </c>
      <c r="G105" s="48">
        <v>0</v>
      </c>
      <c r="H105" s="48">
        <v>0</v>
      </c>
      <c r="I105" s="48">
        <v>0</v>
      </c>
    </row>
    <row r="106" spans="2:9" ht="15.75" customHeight="1">
      <c r="B106" s="67">
        <v>0</v>
      </c>
      <c r="C106" s="48">
        <v>0</v>
      </c>
      <c r="D106" s="48">
        <v>0</v>
      </c>
      <c r="E106" s="48">
        <v>0</v>
      </c>
      <c r="F106" s="48">
        <v>0</v>
      </c>
      <c r="G106" s="48">
        <v>0</v>
      </c>
      <c r="H106" s="48">
        <v>0</v>
      </c>
      <c r="I106" s="48">
        <v>0</v>
      </c>
    </row>
    <row r="107" spans="2:9" ht="15.75" customHeight="1">
      <c r="B107" s="67">
        <v>0</v>
      </c>
      <c r="C107" s="48">
        <v>0</v>
      </c>
      <c r="D107" s="48">
        <v>0</v>
      </c>
      <c r="E107" s="48">
        <v>0</v>
      </c>
      <c r="F107" s="48">
        <v>0</v>
      </c>
      <c r="G107" s="48">
        <v>0</v>
      </c>
      <c r="H107" s="48">
        <v>0</v>
      </c>
      <c r="I107" s="48">
        <v>0</v>
      </c>
    </row>
    <row r="108" spans="2:9" ht="15.75" customHeight="1">
      <c r="B108" s="67">
        <v>0</v>
      </c>
      <c r="C108" s="48">
        <v>0</v>
      </c>
      <c r="D108" s="48">
        <v>0</v>
      </c>
      <c r="E108" s="48">
        <v>0</v>
      </c>
      <c r="F108" s="48">
        <v>0</v>
      </c>
      <c r="G108" s="48">
        <v>0</v>
      </c>
      <c r="H108" s="48">
        <v>0</v>
      </c>
      <c r="I108" s="48">
        <v>0</v>
      </c>
    </row>
    <row r="109" spans="2:9" ht="15.75" customHeight="1">
      <c r="B109" s="67">
        <v>0</v>
      </c>
      <c r="C109" s="48">
        <v>0</v>
      </c>
      <c r="D109" s="48">
        <v>0</v>
      </c>
      <c r="E109" s="48">
        <v>0</v>
      </c>
      <c r="F109" s="48">
        <v>0</v>
      </c>
      <c r="G109" s="48">
        <v>0</v>
      </c>
      <c r="H109" s="48">
        <v>0</v>
      </c>
      <c r="I109" s="48">
        <v>0</v>
      </c>
    </row>
    <row r="110" spans="2:9" ht="15.75" customHeight="1">
      <c r="B110" s="67">
        <v>0</v>
      </c>
      <c r="C110" s="48">
        <v>0</v>
      </c>
      <c r="D110" s="48">
        <v>0</v>
      </c>
      <c r="E110" s="48">
        <v>0</v>
      </c>
      <c r="F110" s="48">
        <v>0</v>
      </c>
      <c r="G110" s="48">
        <v>0</v>
      </c>
      <c r="H110" s="48">
        <v>0</v>
      </c>
      <c r="I110" s="48">
        <v>0</v>
      </c>
    </row>
    <row r="111" spans="2:9" ht="15.75" customHeight="1">
      <c r="B111" s="67">
        <v>0</v>
      </c>
      <c r="C111" s="48">
        <v>0</v>
      </c>
      <c r="D111" s="48">
        <v>0</v>
      </c>
      <c r="E111" s="48">
        <v>0</v>
      </c>
      <c r="F111" s="48">
        <v>0</v>
      </c>
      <c r="G111" s="48">
        <v>0</v>
      </c>
      <c r="H111" s="48">
        <v>0</v>
      </c>
      <c r="I111" s="48">
        <v>0</v>
      </c>
    </row>
    <row r="112" spans="2:9" ht="15.75" customHeight="1">
      <c r="B112" s="67">
        <v>0</v>
      </c>
      <c r="C112" s="48">
        <v>0</v>
      </c>
      <c r="D112" s="48">
        <v>0</v>
      </c>
      <c r="E112" s="48">
        <v>0</v>
      </c>
      <c r="F112" s="48">
        <v>0</v>
      </c>
      <c r="G112" s="48">
        <v>0</v>
      </c>
      <c r="H112" s="48">
        <v>0</v>
      </c>
      <c r="I112" s="48">
        <v>0</v>
      </c>
    </row>
    <row r="113" spans="2:9" ht="15.75" customHeight="1">
      <c r="B113" s="67">
        <v>0</v>
      </c>
      <c r="C113" s="48">
        <v>0</v>
      </c>
      <c r="D113" s="48">
        <v>0</v>
      </c>
      <c r="E113" s="48">
        <v>0</v>
      </c>
      <c r="F113" s="48">
        <v>0</v>
      </c>
      <c r="G113" s="48">
        <v>0</v>
      </c>
      <c r="H113" s="48">
        <v>0</v>
      </c>
      <c r="I113" s="48">
        <v>0</v>
      </c>
    </row>
    <row r="114" spans="2:9" ht="15.75" customHeight="1">
      <c r="B114" s="67">
        <v>0</v>
      </c>
      <c r="C114" s="48">
        <v>0</v>
      </c>
      <c r="D114" s="48">
        <v>0</v>
      </c>
      <c r="E114" s="48">
        <v>0</v>
      </c>
      <c r="F114" s="48">
        <v>0</v>
      </c>
      <c r="G114" s="48">
        <v>0</v>
      </c>
      <c r="H114" s="48">
        <v>0</v>
      </c>
      <c r="I114" s="48">
        <v>0</v>
      </c>
    </row>
    <row r="115" spans="2:9" ht="15.75" customHeight="1">
      <c r="B115" s="67">
        <v>0</v>
      </c>
      <c r="C115" s="48">
        <v>0</v>
      </c>
      <c r="D115" s="48">
        <v>0</v>
      </c>
      <c r="E115" s="48">
        <v>0</v>
      </c>
      <c r="F115" s="48">
        <v>0</v>
      </c>
      <c r="G115" s="48">
        <v>0</v>
      </c>
      <c r="H115" s="48">
        <v>0</v>
      </c>
      <c r="I115" s="48">
        <v>0</v>
      </c>
    </row>
    <row r="116" spans="2:9" ht="15.75" customHeight="1">
      <c r="B116" s="67">
        <v>0</v>
      </c>
      <c r="C116" s="48">
        <v>0</v>
      </c>
      <c r="D116" s="48">
        <v>0</v>
      </c>
      <c r="E116" s="48">
        <v>0</v>
      </c>
      <c r="F116" s="48">
        <v>0</v>
      </c>
      <c r="G116" s="48">
        <v>0</v>
      </c>
      <c r="H116" s="48">
        <v>0</v>
      </c>
      <c r="I116" s="48">
        <v>0</v>
      </c>
    </row>
    <row r="117" spans="2:9" ht="15.75" customHeight="1">
      <c r="B117" s="67">
        <v>0</v>
      </c>
      <c r="C117" s="48">
        <v>0</v>
      </c>
      <c r="D117" s="48">
        <v>0</v>
      </c>
      <c r="E117" s="48">
        <v>0</v>
      </c>
      <c r="F117" s="48">
        <v>0</v>
      </c>
      <c r="G117" s="48">
        <v>0</v>
      </c>
      <c r="H117" s="48">
        <v>0</v>
      </c>
      <c r="I117" s="48">
        <v>0</v>
      </c>
    </row>
    <row r="118" spans="2:9" ht="15.75" customHeight="1">
      <c r="B118" s="67">
        <v>0</v>
      </c>
      <c r="C118" s="48">
        <v>0</v>
      </c>
      <c r="D118" s="48">
        <v>0</v>
      </c>
      <c r="E118" s="48">
        <v>0</v>
      </c>
      <c r="F118" s="48">
        <v>0</v>
      </c>
      <c r="G118" s="48">
        <v>0</v>
      </c>
      <c r="H118" s="48">
        <v>0</v>
      </c>
      <c r="I118" s="48">
        <v>0</v>
      </c>
    </row>
    <row r="119" spans="2:9" ht="15.75" customHeight="1">
      <c r="B119" s="67">
        <v>0</v>
      </c>
      <c r="C119" s="48">
        <v>0</v>
      </c>
      <c r="D119" s="48">
        <v>0</v>
      </c>
      <c r="E119" s="48">
        <v>0</v>
      </c>
      <c r="F119" s="48">
        <v>0</v>
      </c>
      <c r="G119" s="48">
        <v>0</v>
      </c>
      <c r="H119" s="48">
        <v>0</v>
      </c>
      <c r="I119" s="48">
        <v>0</v>
      </c>
    </row>
    <row r="120" spans="2:9" ht="15.75" customHeight="1">
      <c r="B120" s="67">
        <v>0</v>
      </c>
      <c r="C120" s="48">
        <v>0</v>
      </c>
      <c r="D120" s="48">
        <v>0</v>
      </c>
      <c r="E120" s="48">
        <v>0</v>
      </c>
      <c r="F120" s="48">
        <v>0</v>
      </c>
      <c r="G120" s="48">
        <v>0</v>
      </c>
      <c r="H120" s="48">
        <v>0</v>
      </c>
      <c r="I120" s="48">
        <v>0</v>
      </c>
    </row>
    <row r="121" spans="2:9" ht="15.75" customHeight="1">
      <c r="B121" s="67">
        <v>0</v>
      </c>
      <c r="C121" s="48">
        <v>0</v>
      </c>
      <c r="D121" s="48">
        <v>0</v>
      </c>
      <c r="E121" s="48">
        <v>0</v>
      </c>
      <c r="F121" s="48">
        <v>0</v>
      </c>
      <c r="G121" s="48">
        <v>0</v>
      </c>
      <c r="H121" s="48">
        <v>0</v>
      </c>
      <c r="I121" s="48">
        <v>0</v>
      </c>
    </row>
    <row r="122" spans="2:9" ht="15.75" customHeight="1">
      <c r="B122" s="67">
        <v>0</v>
      </c>
      <c r="C122" s="48">
        <v>0</v>
      </c>
      <c r="D122" s="48">
        <v>0</v>
      </c>
      <c r="E122" s="48">
        <v>0</v>
      </c>
      <c r="F122" s="48">
        <v>0</v>
      </c>
      <c r="G122" s="48">
        <v>0</v>
      </c>
      <c r="H122" s="48">
        <v>0</v>
      </c>
      <c r="I122" s="48">
        <v>0</v>
      </c>
    </row>
    <row r="123" spans="2:9" ht="15.75" customHeight="1">
      <c r="B123" s="67">
        <v>0</v>
      </c>
      <c r="C123" s="48">
        <v>0</v>
      </c>
      <c r="D123" s="48">
        <v>0</v>
      </c>
      <c r="E123" s="48">
        <v>0</v>
      </c>
      <c r="F123" s="48">
        <v>0</v>
      </c>
      <c r="G123" s="48">
        <v>0</v>
      </c>
      <c r="H123" s="48">
        <v>0</v>
      </c>
      <c r="I123" s="48">
        <v>0</v>
      </c>
    </row>
    <row r="124" spans="2:9" ht="15.75" customHeight="1">
      <c r="B124" s="67">
        <v>0</v>
      </c>
      <c r="C124" s="48">
        <v>0</v>
      </c>
      <c r="D124" s="48">
        <v>0</v>
      </c>
      <c r="E124" s="48">
        <v>0</v>
      </c>
      <c r="F124" s="48">
        <v>0</v>
      </c>
      <c r="G124" s="48">
        <v>0</v>
      </c>
      <c r="H124" s="48">
        <v>0</v>
      </c>
      <c r="I124" s="48">
        <v>0</v>
      </c>
    </row>
    <row r="125" spans="2:9" ht="15.75" customHeight="1">
      <c r="B125" s="67">
        <v>0</v>
      </c>
      <c r="C125" s="48">
        <v>0</v>
      </c>
      <c r="D125" s="48">
        <v>0</v>
      </c>
      <c r="E125" s="48">
        <v>0</v>
      </c>
      <c r="F125" s="48">
        <v>0</v>
      </c>
      <c r="G125" s="48">
        <v>0</v>
      </c>
      <c r="H125" s="48">
        <v>0</v>
      </c>
      <c r="I125" s="48">
        <v>0</v>
      </c>
    </row>
    <row r="126" spans="2:9" ht="15.75" customHeight="1">
      <c r="B126" s="67">
        <v>0</v>
      </c>
      <c r="C126" s="48">
        <v>0</v>
      </c>
      <c r="D126" s="48">
        <v>0</v>
      </c>
      <c r="E126" s="48">
        <v>0</v>
      </c>
      <c r="F126" s="48">
        <v>0</v>
      </c>
      <c r="G126" s="48">
        <v>0</v>
      </c>
      <c r="H126" s="48">
        <v>0</v>
      </c>
      <c r="I126" s="48">
        <v>0</v>
      </c>
    </row>
    <row r="127" spans="2:9" ht="15.75" customHeight="1">
      <c r="B127" s="67">
        <v>0</v>
      </c>
      <c r="C127" s="48">
        <v>0</v>
      </c>
      <c r="D127" s="48">
        <v>0</v>
      </c>
      <c r="E127" s="48">
        <v>0</v>
      </c>
      <c r="F127" s="48">
        <v>0</v>
      </c>
      <c r="G127" s="48">
        <v>0</v>
      </c>
      <c r="H127" s="48">
        <v>0</v>
      </c>
      <c r="I127" s="48">
        <v>0</v>
      </c>
    </row>
    <row r="128" spans="2:9" ht="15.75" customHeight="1">
      <c r="B128" s="67">
        <v>0</v>
      </c>
      <c r="C128" s="48">
        <v>0</v>
      </c>
      <c r="D128" s="48">
        <v>0</v>
      </c>
      <c r="E128" s="48">
        <v>0</v>
      </c>
      <c r="F128" s="48">
        <v>0</v>
      </c>
      <c r="G128" s="48">
        <v>0</v>
      </c>
      <c r="H128" s="48">
        <v>0</v>
      </c>
      <c r="I128" s="48">
        <v>0</v>
      </c>
    </row>
    <row r="129" spans="2:9" ht="15.75" customHeight="1">
      <c r="B129" s="67">
        <v>0</v>
      </c>
      <c r="C129" s="48">
        <v>0</v>
      </c>
      <c r="D129" s="48">
        <v>0</v>
      </c>
      <c r="E129" s="48">
        <v>0</v>
      </c>
      <c r="F129" s="48">
        <v>0</v>
      </c>
      <c r="G129" s="48">
        <v>0</v>
      </c>
      <c r="H129" s="48">
        <v>0</v>
      </c>
      <c r="I129" s="48">
        <v>0</v>
      </c>
    </row>
    <row r="130" spans="2:9" ht="15.75" customHeight="1">
      <c r="B130" s="67">
        <v>0</v>
      </c>
      <c r="C130" s="48">
        <v>0</v>
      </c>
      <c r="D130" s="48">
        <v>0</v>
      </c>
      <c r="E130" s="48">
        <v>0</v>
      </c>
      <c r="F130" s="48">
        <v>0</v>
      </c>
      <c r="G130" s="48">
        <v>0</v>
      </c>
      <c r="H130" s="48">
        <v>0</v>
      </c>
      <c r="I130" s="48">
        <v>0</v>
      </c>
    </row>
    <row r="131" spans="2:9" ht="15.75" customHeight="1">
      <c r="B131" s="67">
        <v>0</v>
      </c>
      <c r="C131" s="48">
        <v>0</v>
      </c>
      <c r="D131" s="48">
        <v>0</v>
      </c>
      <c r="E131" s="48">
        <v>0</v>
      </c>
      <c r="F131" s="48">
        <v>0</v>
      </c>
      <c r="G131" s="48">
        <v>0</v>
      </c>
      <c r="H131" s="48">
        <v>0</v>
      </c>
      <c r="I131" s="48">
        <v>0</v>
      </c>
    </row>
    <row r="132" spans="2:9" ht="15.75" customHeight="1">
      <c r="B132" s="67">
        <v>0</v>
      </c>
      <c r="C132" s="48">
        <v>0</v>
      </c>
      <c r="D132" s="48">
        <v>0</v>
      </c>
      <c r="E132" s="48">
        <v>0</v>
      </c>
      <c r="F132" s="48">
        <v>0</v>
      </c>
      <c r="G132" s="48">
        <v>0</v>
      </c>
      <c r="H132" s="48">
        <v>0</v>
      </c>
      <c r="I132" s="48">
        <v>0</v>
      </c>
    </row>
    <row r="133" spans="2:9" ht="15.75" customHeight="1">
      <c r="B133" s="67">
        <v>0</v>
      </c>
      <c r="C133" s="48">
        <v>0</v>
      </c>
      <c r="D133" s="48">
        <v>0</v>
      </c>
      <c r="E133" s="48">
        <v>0</v>
      </c>
      <c r="F133" s="48">
        <v>0</v>
      </c>
      <c r="G133" s="48">
        <v>0</v>
      </c>
      <c r="H133" s="48">
        <v>0</v>
      </c>
      <c r="I133" s="48">
        <v>0</v>
      </c>
    </row>
    <row r="134" spans="2:9" ht="15.75" customHeight="1">
      <c r="B134" s="67">
        <v>0</v>
      </c>
      <c r="C134" s="48">
        <v>0</v>
      </c>
      <c r="D134" s="48">
        <v>0</v>
      </c>
      <c r="E134" s="48">
        <v>0</v>
      </c>
      <c r="F134" s="48">
        <v>0</v>
      </c>
      <c r="G134" s="48">
        <v>0</v>
      </c>
      <c r="H134" s="48">
        <v>0</v>
      </c>
      <c r="I134" s="48">
        <v>0</v>
      </c>
    </row>
    <row r="135" spans="2:9" ht="15.75" customHeight="1">
      <c r="B135" s="67">
        <v>0</v>
      </c>
      <c r="C135" s="48">
        <v>0</v>
      </c>
      <c r="D135" s="48">
        <v>0</v>
      </c>
      <c r="E135" s="48">
        <v>0</v>
      </c>
      <c r="F135" s="48">
        <v>0</v>
      </c>
      <c r="G135" s="48">
        <v>0</v>
      </c>
      <c r="H135" s="48">
        <v>0</v>
      </c>
      <c r="I135" s="48">
        <v>0</v>
      </c>
    </row>
    <row r="136" spans="2:9" ht="15.75" customHeight="1">
      <c r="B136" s="67">
        <v>0</v>
      </c>
      <c r="C136" s="48">
        <v>0</v>
      </c>
      <c r="D136" s="48">
        <v>0</v>
      </c>
      <c r="E136" s="48">
        <v>0</v>
      </c>
      <c r="F136" s="48">
        <v>0</v>
      </c>
      <c r="G136" s="48">
        <v>0</v>
      </c>
      <c r="H136" s="48">
        <v>0</v>
      </c>
      <c r="I136" s="48">
        <v>0</v>
      </c>
    </row>
    <row r="137" spans="2:9" ht="15.75" customHeight="1">
      <c r="B137" s="67">
        <v>0</v>
      </c>
      <c r="C137" s="48">
        <v>0</v>
      </c>
      <c r="D137" s="48">
        <v>0</v>
      </c>
      <c r="E137" s="48">
        <v>0</v>
      </c>
      <c r="F137" s="48">
        <v>0</v>
      </c>
      <c r="G137" s="48">
        <v>0</v>
      </c>
      <c r="H137" s="48">
        <v>0</v>
      </c>
      <c r="I137" s="48">
        <v>0</v>
      </c>
    </row>
    <row r="138" spans="2:9" ht="15.75" customHeight="1">
      <c r="B138" s="67">
        <v>0</v>
      </c>
      <c r="C138" s="48">
        <v>0</v>
      </c>
      <c r="D138" s="48">
        <v>0</v>
      </c>
      <c r="E138" s="48">
        <v>0</v>
      </c>
      <c r="F138" s="48">
        <v>0</v>
      </c>
      <c r="G138" s="48">
        <v>0</v>
      </c>
      <c r="H138" s="48">
        <v>0</v>
      </c>
      <c r="I138" s="48">
        <v>0</v>
      </c>
    </row>
    <row r="139" spans="2:9" ht="15.75" customHeight="1">
      <c r="B139" s="67">
        <v>0</v>
      </c>
      <c r="C139" s="48">
        <v>0</v>
      </c>
      <c r="D139" s="48">
        <v>0</v>
      </c>
      <c r="E139" s="48">
        <v>0</v>
      </c>
      <c r="F139" s="48">
        <v>0</v>
      </c>
      <c r="G139" s="48">
        <v>0</v>
      </c>
      <c r="H139" s="48">
        <v>0</v>
      </c>
      <c r="I139" s="48">
        <v>0</v>
      </c>
    </row>
    <row r="140" spans="2:9" ht="15.75" customHeight="1">
      <c r="B140" s="67">
        <v>0</v>
      </c>
      <c r="C140" s="48">
        <v>0</v>
      </c>
      <c r="D140" s="48">
        <v>0</v>
      </c>
      <c r="E140" s="48">
        <v>0</v>
      </c>
      <c r="F140" s="48">
        <v>0</v>
      </c>
      <c r="G140" s="48">
        <v>0</v>
      </c>
      <c r="H140" s="48">
        <v>0</v>
      </c>
      <c r="I140" s="48">
        <v>0</v>
      </c>
    </row>
    <row r="141" spans="2:9" ht="15.75" customHeight="1">
      <c r="B141" s="67">
        <v>0</v>
      </c>
      <c r="C141" s="48">
        <v>0</v>
      </c>
      <c r="D141" s="48">
        <v>0</v>
      </c>
      <c r="E141" s="48">
        <v>0</v>
      </c>
      <c r="F141" s="48">
        <v>0</v>
      </c>
      <c r="G141" s="48">
        <v>0</v>
      </c>
      <c r="H141" s="48">
        <v>0</v>
      </c>
      <c r="I141" s="48">
        <v>0</v>
      </c>
    </row>
    <row r="142" spans="2:9" ht="15.75" customHeight="1">
      <c r="B142" s="67">
        <v>0</v>
      </c>
      <c r="C142" s="48">
        <v>0</v>
      </c>
      <c r="D142" s="48">
        <v>0</v>
      </c>
      <c r="E142" s="48">
        <v>0</v>
      </c>
      <c r="F142" s="48">
        <v>0</v>
      </c>
      <c r="G142" s="48">
        <v>0</v>
      </c>
      <c r="H142" s="48">
        <v>0</v>
      </c>
      <c r="I142" s="48">
        <v>0</v>
      </c>
    </row>
    <row r="143" spans="2:9" ht="15.75" customHeight="1">
      <c r="B143" s="67">
        <v>0</v>
      </c>
      <c r="C143" s="48">
        <v>0</v>
      </c>
      <c r="D143" s="48">
        <v>0</v>
      </c>
      <c r="E143" s="48">
        <v>0</v>
      </c>
      <c r="F143" s="48">
        <v>0</v>
      </c>
      <c r="G143" s="48">
        <v>0</v>
      </c>
      <c r="H143" s="48">
        <v>0</v>
      </c>
      <c r="I143" s="48">
        <v>0</v>
      </c>
    </row>
    <row r="144" spans="2:9" ht="15.75" customHeight="1">
      <c r="B144" s="67">
        <v>0</v>
      </c>
      <c r="C144" s="48">
        <v>0</v>
      </c>
      <c r="D144" s="48">
        <v>0</v>
      </c>
      <c r="E144" s="48">
        <v>0</v>
      </c>
      <c r="F144" s="48">
        <v>0</v>
      </c>
      <c r="G144" s="48">
        <v>0</v>
      </c>
      <c r="H144" s="48">
        <v>0</v>
      </c>
      <c r="I144" s="48">
        <v>0</v>
      </c>
    </row>
    <row r="145" spans="2:9" ht="15.75" customHeight="1">
      <c r="B145" s="67">
        <v>0</v>
      </c>
      <c r="C145" s="48">
        <v>0</v>
      </c>
      <c r="D145" s="48">
        <v>0</v>
      </c>
      <c r="E145" s="48">
        <v>0</v>
      </c>
      <c r="F145" s="48">
        <v>0</v>
      </c>
      <c r="G145" s="48">
        <v>0</v>
      </c>
      <c r="H145" s="48">
        <v>0</v>
      </c>
      <c r="I145" s="48">
        <v>0</v>
      </c>
    </row>
    <row r="146" spans="2:9" ht="15.75" customHeight="1">
      <c r="B146" s="67">
        <v>0</v>
      </c>
      <c r="C146" s="48">
        <v>0</v>
      </c>
      <c r="D146" s="48">
        <v>0</v>
      </c>
      <c r="E146" s="48">
        <v>0</v>
      </c>
      <c r="F146" s="48">
        <v>0</v>
      </c>
      <c r="G146" s="48">
        <v>0</v>
      </c>
      <c r="H146" s="48">
        <v>0</v>
      </c>
      <c r="I146" s="48">
        <v>0</v>
      </c>
    </row>
    <row r="147" spans="2:9" ht="15.75" customHeight="1">
      <c r="B147" s="67">
        <v>0</v>
      </c>
      <c r="C147" s="48">
        <v>0</v>
      </c>
      <c r="D147" s="48">
        <v>0</v>
      </c>
      <c r="E147" s="48">
        <v>0</v>
      </c>
      <c r="F147" s="48">
        <v>0</v>
      </c>
      <c r="G147" s="48">
        <v>0</v>
      </c>
      <c r="H147" s="48">
        <v>0</v>
      </c>
      <c r="I147" s="48">
        <v>0</v>
      </c>
    </row>
    <row r="148" spans="2:9" ht="15.75" customHeight="1">
      <c r="B148" s="67">
        <v>0</v>
      </c>
      <c r="C148" s="48">
        <v>0</v>
      </c>
      <c r="D148" s="48">
        <v>0</v>
      </c>
      <c r="E148" s="48">
        <v>0</v>
      </c>
      <c r="F148" s="48">
        <v>0</v>
      </c>
      <c r="G148" s="48">
        <v>0</v>
      </c>
      <c r="H148" s="48">
        <v>0</v>
      </c>
      <c r="I148" s="48">
        <v>0</v>
      </c>
    </row>
    <row r="149" spans="2:9" ht="15.75" customHeight="1">
      <c r="B149" s="67">
        <v>0</v>
      </c>
      <c r="C149" s="48">
        <v>0</v>
      </c>
      <c r="D149" s="48">
        <v>0</v>
      </c>
      <c r="E149" s="48">
        <v>0</v>
      </c>
      <c r="F149" s="48">
        <v>0</v>
      </c>
      <c r="G149" s="48">
        <v>0</v>
      </c>
      <c r="H149" s="48">
        <v>0</v>
      </c>
      <c r="I149" s="48">
        <v>0</v>
      </c>
    </row>
    <row r="150" spans="2:9" ht="15.75" customHeight="1">
      <c r="B150" s="67">
        <v>0</v>
      </c>
      <c r="C150" s="48">
        <v>0</v>
      </c>
      <c r="D150" s="48">
        <v>0</v>
      </c>
      <c r="E150" s="48">
        <v>0</v>
      </c>
      <c r="F150" s="48">
        <v>0</v>
      </c>
      <c r="G150" s="48">
        <v>0</v>
      </c>
      <c r="H150" s="48">
        <v>0</v>
      </c>
      <c r="I150" s="48">
        <v>0</v>
      </c>
    </row>
    <row r="151" spans="2:9" ht="15.75" customHeight="1">
      <c r="B151" s="67">
        <v>0</v>
      </c>
      <c r="C151" s="48">
        <v>0</v>
      </c>
      <c r="D151" s="48">
        <v>0</v>
      </c>
      <c r="E151" s="48">
        <v>0</v>
      </c>
      <c r="F151" s="48">
        <v>0</v>
      </c>
      <c r="G151" s="48">
        <v>0</v>
      </c>
      <c r="H151" s="48">
        <v>0</v>
      </c>
      <c r="I151" s="48">
        <v>0</v>
      </c>
    </row>
    <row r="152" spans="2:9" ht="15.75" customHeight="1">
      <c r="B152" s="67">
        <v>0</v>
      </c>
      <c r="C152" s="48">
        <v>0</v>
      </c>
      <c r="D152" s="48">
        <v>0</v>
      </c>
      <c r="E152" s="48">
        <v>0</v>
      </c>
      <c r="F152" s="48">
        <v>0</v>
      </c>
      <c r="G152" s="48">
        <v>0</v>
      </c>
      <c r="H152" s="48">
        <v>0</v>
      </c>
      <c r="I152" s="48">
        <v>0</v>
      </c>
    </row>
    <row r="153" spans="2:9" ht="15.75" customHeight="1">
      <c r="B153" s="67">
        <v>0</v>
      </c>
      <c r="C153" s="48">
        <v>0</v>
      </c>
      <c r="D153" s="48">
        <v>0</v>
      </c>
      <c r="E153" s="48">
        <v>0</v>
      </c>
      <c r="F153" s="48">
        <v>0</v>
      </c>
      <c r="G153" s="48">
        <v>0</v>
      </c>
      <c r="H153" s="48">
        <v>0</v>
      </c>
      <c r="I153" s="48">
        <v>0</v>
      </c>
    </row>
    <row r="154" spans="2:9" ht="15.75" customHeight="1">
      <c r="B154" s="67">
        <v>0</v>
      </c>
      <c r="C154" s="48">
        <v>0</v>
      </c>
      <c r="D154" s="48">
        <v>0</v>
      </c>
      <c r="E154" s="48">
        <v>0</v>
      </c>
      <c r="F154" s="48">
        <v>0</v>
      </c>
      <c r="G154" s="48">
        <v>0</v>
      </c>
      <c r="H154" s="48">
        <v>0</v>
      </c>
      <c r="I154" s="48">
        <v>0</v>
      </c>
    </row>
    <row r="155" spans="2:9" ht="15.75" customHeight="1">
      <c r="B155" s="67">
        <v>0</v>
      </c>
      <c r="C155" s="48">
        <v>0</v>
      </c>
      <c r="D155" s="48">
        <v>0</v>
      </c>
      <c r="E155" s="48">
        <v>0</v>
      </c>
      <c r="F155" s="48">
        <v>0</v>
      </c>
      <c r="G155" s="48">
        <v>0</v>
      </c>
      <c r="H155" s="48">
        <v>0</v>
      </c>
      <c r="I155" s="48">
        <v>0</v>
      </c>
    </row>
    <row r="156" spans="2:9" ht="15.75" customHeight="1">
      <c r="B156" s="67">
        <v>0</v>
      </c>
      <c r="C156" s="48">
        <v>0</v>
      </c>
      <c r="D156" s="48">
        <v>0</v>
      </c>
      <c r="E156" s="48">
        <v>0</v>
      </c>
      <c r="F156" s="48">
        <v>0</v>
      </c>
      <c r="G156" s="48">
        <v>0</v>
      </c>
      <c r="H156" s="48">
        <v>0</v>
      </c>
      <c r="I156" s="48">
        <v>0</v>
      </c>
    </row>
    <row r="157" spans="2:9" ht="15.75" customHeight="1">
      <c r="B157" s="67">
        <v>0</v>
      </c>
      <c r="C157" s="48">
        <v>0</v>
      </c>
      <c r="D157" s="48">
        <v>0</v>
      </c>
      <c r="E157" s="48">
        <v>0</v>
      </c>
      <c r="F157" s="48">
        <v>0</v>
      </c>
      <c r="G157" s="48">
        <v>0</v>
      </c>
      <c r="H157" s="48">
        <v>0</v>
      </c>
      <c r="I157" s="48">
        <v>0</v>
      </c>
    </row>
    <row r="158" spans="2:9" ht="15.75" customHeight="1">
      <c r="B158" s="67">
        <v>0</v>
      </c>
      <c r="C158" s="48">
        <v>0</v>
      </c>
      <c r="D158" s="48">
        <v>0</v>
      </c>
      <c r="E158" s="48">
        <v>0</v>
      </c>
      <c r="F158" s="48">
        <v>0</v>
      </c>
      <c r="G158" s="48">
        <v>0</v>
      </c>
      <c r="H158" s="48">
        <v>0</v>
      </c>
      <c r="I158" s="48">
        <v>0</v>
      </c>
    </row>
    <row r="159" spans="2:9" ht="15.75" customHeight="1">
      <c r="B159" s="67">
        <v>0</v>
      </c>
      <c r="C159" s="48">
        <v>0</v>
      </c>
      <c r="D159" s="48">
        <v>0</v>
      </c>
      <c r="E159" s="48">
        <v>0</v>
      </c>
      <c r="F159" s="48">
        <v>0</v>
      </c>
      <c r="G159" s="48">
        <v>0</v>
      </c>
      <c r="H159" s="48">
        <v>0</v>
      </c>
      <c r="I159" s="48">
        <v>0</v>
      </c>
    </row>
    <row r="160" spans="2:9" ht="15.75" customHeight="1">
      <c r="B160" s="67">
        <v>0</v>
      </c>
      <c r="C160" s="48">
        <v>0</v>
      </c>
      <c r="D160" s="48">
        <v>0</v>
      </c>
      <c r="E160" s="48">
        <v>0</v>
      </c>
      <c r="F160" s="48">
        <v>0</v>
      </c>
      <c r="G160" s="48">
        <v>0</v>
      </c>
      <c r="H160" s="48">
        <v>0</v>
      </c>
      <c r="I160" s="48">
        <v>0</v>
      </c>
    </row>
    <row r="161" spans="2:9" ht="15.75" customHeight="1">
      <c r="B161" s="67">
        <v>0</v>
      </c>
      <c r="C161" s="48">
        <v>0</v>
      </c>
      <c r="D161" s="48">
        <v>0</v>
      </c>
      <c r="E161" s="48">
        <v>0</v>
      </c>
      <c r="F161" s="48">
        <v>0</v>
      </c>
      <c r="G161" s="48">
        <v>0</v>
      </c>
      <c r="H161" s="48">
        <v>0</v>
      </c>
      <c r="I161" s="48">
        <v>0</v>
      </c>
    </row>
    <row r="162" spans="2:9" ht="15.75" customHeight="1">
      <c r="B162" s="67">
        <v>0</v>
      </c>
      <c r="C162" s="48">
        <v>0</v>
      </c>
      <c r="D162" s="48">
        <v>0</v>
      </c>
      <c r="E162" s="48">
        <v>0</v>
      </c>
      <c r="F162" s="48">
        <v>0</v>
      </c>
      <c r="G162" s="48">
        <v>0</v>
      </c>
      <c r="H162" s="48">
        <v>0</v>
      </c>
      <c r="I162" s="48">
        <v>0</v>
      </c>
    </row>
    <row r="163" spans="2:9" ht="15.75" customHeight="1">
      <c r="B163" s="67">
        <v>0</v>
      </c>
      <c r="C163" s="48">
        <v>0</v>
      </c>
      <c r="D163" s="48">
        <v>0</v>
      </c>
      <c r="E163" s="48">
        <v>0</v>
      </c>
      <c r="F163" s="48">
        <v>0</v>
      </c>
      <c r="G163" s="48">
        <v>0</v>
      </c>
      <c r="H163" s="48">
        <v>0</v>
      </c>
      <c r="I163" s="48">
        <v>0</v>
      </c>
    </row>
    <row r="164" spans="2:9" ht="15.75" customHeight="1">
      <c r="B164" s="67">
        <v>0</v>
      </c>
      <c r="C164" s="48">
        <v>0</v>
      </c>
      <c r="D164" s="48">
        <v>0</v>
      </c>
      <c r="E164" s="48">
        <v>0</v>
      </c>
      <c r="F164" s="48">
        <v>0</v>
      </c>
      <c r="G164" s="48">
        <v>0</v>
      </c>
      <c r="H164" s="48">
        <v>0</v>
      </c>
      <c r="I164" s="48">
        <v>0</v>
      </c>
    </row>
    <row r="165" spans="2:9" ht="15.75" customHeight="1">
      <c r="B165" s="67">
        <v>0</v>
      </c>
      <c r="C165" s="48">
        <v>0</v>
      </c>
      <c r="D165" s="48">
        <v>0</v>
      </c>
      <c r="E165" s="48">
        <v>0</v>
      </c>
      <c r="F165" s="48">
        <v>0</v>
      </c>
      <c r="G165" s="48">
        <v>0</v>
      </c>
      <c r="H165" s="48">
        <v>0</v>
      </c>
      <c r="I165" s="48">
        <v>0</v>
      </c>
    </row>
    <row r="166" spans="2:9" ht="15.75" customHeight="1">
      <c r="B166" s="67">
        <v>0</v>
      </c>
      <c r="C166" s="48">
        <v>0</v>
      </c>
      <c r="D166" s="48">
        <v>0</v>
      </c>
      <c r="E166" s="48">
        <v>0</v>
      </c>
      <c r="F166" s="48">
        <v>0</v>
      </c>
      <c r="G166" s="48">
        <v>0</v>
      </c>
      <c r="H166" s="48">
        <v>0</v>
      </c>
      <c r="I166" s="48">
        <v>0</v>
      </c>
    </row>
    <row r="167" spans="2:9" ht="15.75" customHeight="1">
      <c r="B167" s="67">
        <v>0</v>
      </c>
      <c r="C167" s="48">
        <v>0</v>
      </c>
      <c r="D167" s="48">
        <v>0</v>
      </c>
      <c r="E167" s="48">
        <v>0</v>
      </c>
      <c r="F167" s="48">
        <v>0</v>
      </c>
      <c r="G167" s="48">
        <v>0</v>
      </c>
      <c r="H167" s="48">
        <v>0</v>
      </c>
      <c r="I167" s="48">
        <v>0</v>
      </c>
    </row>
    <row r="168" spans="2:9" ht="15.75" customHeight="1">
      <c r="B168" s="67">
        <v>0</v>
      </c>
      <c r="C168" s="48">
        <v>0</v>
      </c>
      <c r="D168" s="48">
        <v>0</v>
      </c>
      <c r="E168" s="48">
        <v>0</v>
      </c>
      <c r="F168" s="48">
        <v>0</v>
      </c>
      <c r="G168" s="48">
        <v>0</v>
      </c>
      <c r="H168" s="48">
        <v>0</v>
      </c>
      <c r="I168" s="48">
        <v>0</v>
      </c>
    </row>
    <row r="169" spans="2:9" ht="15.75" customHeight="1">
      <c r="B169" s="67">
        <v>0</v>
      </c>
      <c r="C169" s="48">
        <v>0</v>
      </c>
      <c r="D169" s="48">
        <v>0</v>
      </c>
      <c r="E169" s="48">
        <v>0</v>
      </c>
      <c r="F169" s="48">
        <v>0</v>
      </c>
      <c r="G169" s="48">
        <v>0</v>
      </c>
      <c r="H169" s="48">
        <v>0</v>
      </c>
      <c r="I169" s="48">
        <v>0</v>
      </c>
    </row>
    <row r="170" spans="2:9" ht="15.75" customHeight="1">
      <c r="B170" s="67">
        <v>0</v>
      </c>
      <c r="C170" s="48">
        <v>0</v>
      </c>
      <c r="D170" s="48">
        <v>0</v>
      </c>
      <c r="E170" s="48">
        <v>0</v>
      </c>
      <c r="F170" s="48">
        <v>0</v>
      </c>
      <c r="G170" s="48">
        <v>0</v>
      </c>
      <c r="H170" s="48">
        <v>0</v>
      </c>
      <c r="I170" s="48">
        <v>0</v>
      </c>
    </row>
    <row r="171" spans="2:9" ht="15.75" customHeight="1">
      <c r="B171" s="67">
        <v>0</v>
      </c>
      <c r="C171" s="48">
        <v>0</v>
      </c>
      <c r="D171" s="48">
        <v>0</v>
      </c>
      <c r="E171" s="48">
        <v>0</v>
      </c>
      <c r="F171" s="48">
        <v>0</v>
      </c>
      <c r="G171" s="48">
        <v>0</v>
      </c>
      <c r="H171" s="48">
        <v>0</v>
      </c>
      <c r="I171" s="48">
        <v>0</v>
      </c>
    </row>
    <row r="172" spans="2:9" ht="15.75" customHeight="1">
      <c r="B172" s="67">
        <v>0</v>
      </c>
      <c r="C172" s="48">
        <v>0</v>
      </c>
      <c r="D172" s="48">
        <v>0</v>
      </c>
      <c r="E172" s="48">
        <v>0</v>
      </c>
      <c r="F172" s="48">
        <v>0</v>
      </c>
      <c r="G172" s="48">
        <v>0</v>
      </c>
      <c r="H172" s="48">
        <v>0</v>
      </c>
      <c r="I172" s="48">
        <v>0</v>
      </c>
    </row>
    <row r="173" spans="2:9" ht="15.75" customHeight="1">
      <c r="B173" s="67">
        <v>0</v>
      </c>
      <c r="C173" s="48">
        <v>0</v>
      </c>
      <c r="D173" s="48">
        <v>0</v>
      </c>
      <c r="E173" s="48">
        <v>0</v>
      </c>
      <c r="F173" s="48">
        <v>0</v>
      </c>
      <c r="G173" s="48">
        <v>0</v>
      </c>
      <c r="H173" s="48">
        <v>0</v>
      </c>
      <c r="I173" s="48">
        <v>0</v>
      </c>
    </row>
    <row r="174" spans="2:9" ht="15.75" customHeight="1">
      <c r="B174" s="67">
        <v>0</v>
      </c>
      <c r="C174" s="48">
        <v>0</v>
      </c>
      <c r="D174" s="48">
        <v>0</v>
      </c>
      <c r="E174" s="48">
        <v>0</v>
      </c>
      <c r="F174" s="48">
        <v>0</v>
      </c>
      <c r="G174" s="48">
        <v>0</v>
      </c>
      <c r="H174" s="48">
        <v>0</v>
      </c>
      <c r="I174" s="48">
        <v>0</v>
      </c>
    </row>
    <row r="175" spans="2:9" ht="15.75" customHeight="1">
      <c r="B175" s="67">
        <v>0</v>
      </c>
      <c r="C175" s="48">
        <v>0</v>
      </c>
      <c r="D175" s="48">
        <v>0</v>
      </c>
      <c r="E175" s="48">
        <v>0</v>
      </c>
      <c r="F175" s="48">
        <v>0</v>
      </c>
      <c r="G175" s="48">
        <v>0</v>
      </c>
      <c r="H175" s="48">
        <v>0</v>
      </c>
      <c r="I175" s="48">
        <v>0</v>
      </c>
    </row>
    <row r="176" spans="2:9" ht="15.75" customHeight="1">
      <c r="B176" s="67">
        <v>0</v>
      </c>
      <c r="C176" s="48">
        <v>0</v>
      </c>
      <c r="D176" s="48">
        <v>0</v>
      </c>
      <c r="E176" s="48">
        <v>0</v>
      </c>
      <c r="F176" s="48">
        <v>0</v>
      </c>
      <c r="G176" s="48">
        <v>0</v>
      </c>
      <c r="H176" s="48">
        <v>0</v>
      </c>
      <c r="I176" s="48">
        <v>0</v>
      </c>
    </row>
    <row r="177" spans="2:9" ht="15.75" customHeight="1">
      <c r="B177" s="67">
        <v>0</v>
      </c>
      <c r="C177" s="48">
        <v>0</v>
      </c>
      <c r="D177" s="48">
        <v>0</v>
      </c>
      <c r="E177" s="48">
        <v>0</v>
      </c>
      <c r="F177" s="48">
        <v>0</v>
      </c>
      <c r="G177" s="48">
        <v>0</v>
      </c>
      <c r="H177" s="48">
        <v>0</v>
      </c>
      <c r="I177" s="48">
        <v>0</v>
      </c>
    </row>
    <row r="178" spans="2:9" ht="15.75" customHeight="1">
      <c r="B178" s="67">
        <v>0</v>
      </c>
      <c r="C178" s="48">
        <v>0</v>
      </c>
      <c r="D178" s="48">
        <v>0</v>
      </c>
      <c r="E178" s="48">
        <v>0</v>
      </c>
      <c r="F178" s="48">
        <v>0</v>
      </c>
      <c r="G178" s="48">
        <v>0</v>
      </c>
      <c r="H178" s="48">
        <v>0</v>
      </c>
      <c r="I178" s="48">
        <v>0</v>
      </c>
    </row>
    <row r="179" spans="2:9" ht="15.75" customHeight="1">
      <c r="B179" s="67">
        <v>0</v>
      </c>
      <c r="C179" s="48">
        <v>0</v>
      </c>
      <c r="D179" s="48">
        <v>0</v>
      </c>
      <c r="E179" s="48">
        <v>0</v>
      </c>
      <c r="F179" s="48">
        <v>0</v>
      </c>
      <c r="G179" s="48">
        <v>0</v>
      </c>
      <c r="H179" s="48">
        <v>0</v>
      </c>
      <c r="I179" s="48">
        <v>0</v>
      </c>
    </row>
    <row r="180" spans="2:9" ht="15.75" customHeight="1">
      <c r="B180" s="67">
        <v>0</v>
      </c>
      <c r="C180" s="48">
        <v>0</v>
      </c>
      <c r="D180" s="48">
        <v>0</v>
      </c>
      <c r="E180" s="48">
        <v>0</v>
      </c>
      <c r="F180" s="48">
        <v>0</v>
      </c>
      <c r="G180" s="48">
        <v>0</v>
      </c>
      <c r="H180" s="48">
        <v>0</v>
      </c>
      <c r="I180" s="48">
        <v>0</v>
      </c>
    </row>
    <row r="181" spans="2:9" ht="15.75" customHeight="1">
      <c r="B181" s="67">
        <v>0</v>
      </c>
      <c r="C181" s="48">
        <v>0</v>
      </c>
      <c r="D181" s="48">
        <v>0</v>
      </c>
      <c r="E181" s="48">
        <v>0</v>
      </c>
      <c r="F181" s="48">
        <v>0</v>
      </c>
      <c r="G181" s="48">
        <v>0</v>
      </c>
      <c r="H181" s="48">
        <v>0</v>
      </c>
      <c r="I181" s="48">
        <v>0</v>
      </c>
    </row>
    <row r="182" spans="2:9" ht="15.75" customHeight="1">
      <c r="B182" s="67">
        <v>0</v>
      </c>
      <c r="C182" s="48">
        <v>0</v>
      </c>
      <c r="D182" s="48">
        <v>0</v>
      </c>
      <c r="E182" s="48">
        <v>0</v>
      </c>
      <c r="F182" s="48">
        <v>0</v>
      </c>
      <c r="G182" s="48">
        <v>0</v>
      </c>
      <c r="H182" s="48">
        <v>0</v>
      </c>
      <c r="I182" s="48">
        <v>0</v>
      </c>
    </row>
    <row r="183" spans="2:9" ht="15.75" customHeight="1">
      <c r="B183" s="67">
        <v>0</v>
      </c>
      <c r="C183" s="48">
        <v>0</v>
      </c>
      <c r="D183" s="48">
        <v>0</v>
      </c>
      <c r="E183" s="48">
        <v>0</v>
      </c>
      <c r="F183" s="48">
        <v>0</v>
      </c>
      <c r="G183" s="48">
        <v>0</v>
      </c>
      <c r="H183" s="48">
        <v>0</v>
      </c>
      <c r="I183" s="48">
        <v>0</v>
      </c>
    </row>
    <row r="184" spans="2:9" ht="15.75" customHeight="1">
      <c r="B184" s="67">
        <v>0</v>
      </c>
      <c r="C184" s="48">
        <v>0</v>
      </c>
      <c r="D184" s="48">
        <v>0</v>
      </c>
      <c r="E184" s="48">
        <v>0</v>
      </c>
      <c r="F184" s="48">
        <v>0</v>
      </c>
      <c r="G184" s="48">
        <v>0</v>
      </c>
      <c r="H184" s="48">
        <v>0</v>
      </c>
      <c r="I184" s="48">
        <v>0</v>
      </c>
    </row>
    <row r="185" spans="2:9" ht="15.75" customHeight="1">
      <c r="B185" s="67">
        <v>0</v>
      </c>
      <c r="C185" s="48">
        <v>0</v>
      </c>
      <c r="D185" s="48">
        <v>0</v>
      </c>
      <c r="E185" s="48">
        <v>0</v>
      </c>
      <c r="F185" s="48">
        <v>0</v>
      </c>
      <c r="G185" s="48">
        <v>0</v>
      </c>
      <c r="H185" s="48">
        <v>0</v>
      </c>
      <c r="I185" s="48">
        <v>0</v>
      </c>
    </row>
    <row r="186" spans="2:9" ht="15.75" customHeight="1">
      <c r="B186" s="67">
        <v>0</v>
      </c>
      <c r="C186" s="48">
        <v>0</v>
      </c>
      <c r="D186" s="48">
        <v>0</v>
      </c>
      <c r="E186" s="48">
        <v>0</v>
      </c>
      <c r="F186" s="48">
        <v>0</v>
      </c>
      <c r="G186" s="48">
        <v>0</v>
      </c>
      <c r="H186" s="48">
        <v>0</v>
      </c>
      <c r="I186" s="48">
        <v>0</v>
      </c>
    </row>
    <row r="187" spans="2:9" ht="15.75" customHeight="1">
      <c r="B187" s="67">
        <v>0</v>
      </c>
      <c r="C187" s="48">
        <v>0</v>
      </c>
      <c r="D187" s="48">
        <v>0</v>
      </c>
      <c r="E187" s="48">
        <v>0</v>
      </c>
      <c r="F187" s="48">
        <v>0</v>
      </c>
      <c r="G187" s="48">
        <v>0</v>
      </c>
      <c r="H187" s="48">
        <v>0</v>
      </c>
      <c r="I187" s="48">
        <v>0</v>
      </c>
    </row>
    <row r="188" spans="2:9" ht="15.75" customHeight="1">
      <c r="B188" s="67">
        <v>0</v>
      </c>
      <c r="C188" s="48">
        <v>0</v>
      </c>
      <c r="D188" s="48">
        <v>0</v>
      </c>
      <c r="E188" s="48">
        <v>0</v>
      </c>
      <c r="F188" s="48">
        <v>0</v>
      </c>
      <c r="G188" s="48">
        <v>0</v>
      </c>
      <c r="H188" s="48">
        <v>0</v>
      </c>
      <c r="I188" s="48">
        <v>0</v>
      </c>
    </row>
    <row r="189" spans="2:9" ht="15.75" customHeight="1">
      <c r="B189" s="67">
        <v>0</v>
      </c>
      <c r="C189" s="48">
        <v>0</v>
      </c>
      <c r="D189" s="48">
        <v>0</v>
      </c>
      <c r="E189" s="48">
        <v>0</v>
      </c>
      <c r="F189" s="48">
        <v>0</v>
      </c>
      <c r="G189" s="48">
        <v>0</v>
      </c>
      <c r="H189" s="48">
        <v>0</v>
      </c>
      <c r="I189" s="48">
        <v>0</v>
      </c>
    </row>
    <row r="190" spans="2:9" ht="15.75" customHeight="1">
      <c r="B190" s="67">
        <v>0</v>
      </c>
      <c r="C190" s="48">
        <v>0</v>
      </c>
      <c r="D190" s="48">
        <v>0</v>
      </c>
      <c r="E190" s="48">
        <v>0</v>
      </c>
      <c r="F190" s="48">
        <v>0</v>
      </c>
      <c r="G190" s="48">
        <v>0</v>
      </c>
      <c r="H190" s="48">
        <v>0</v>
      </c>
      <c r="I190" s="48">
        <v>0</v>
      </c>
    </row>
    <row r="191" spans="2:9" ht="15.75" customHeight="1">
      <c r="B191" s="67">
        <v>0</v>
      </c>
      <c r="C191" s="48">
        <v>0</v>
      </c>
      <c r="D191" s="48">
        <v>0</v>
      </c>
      <c r="E191" s="48">
        <v>0</v>
      </c>
      <c r="F191" s="48">
        <v>0</v>
      </c>
      <c r="G191" s="48">
        <v>0</v>
      </c>
      <c r="H191" s="48">
        <v>0</v>
      </c>
      <c r="I191" s="48">
        <v>0</v>
      </c>
    </row>
    <row r="192" spans="2:9" ht="15.75" customHeight="1">
      <c r="B192" s="67">
        <v>0</v>
      </c>
      <c r="C192" s="48">
        <v>0</v>
      </c>
      <c r="D192" s="48">
        <v>0</v>
      </c>
      <c r="E192" s="48">
        <v>0</v>
      </c>
      <c r="F192" s="48">
        <v>0</v>
      </c>
      <c r="G192" s="48">
        <v>0</v>
      </c>
      <c r="H192" s="48">
        <v>0</v>
      </c>
      <c r="I192" s="48">
        <v>0</v>
      </c>
    </row>
    <row r="193" spans="2:9" ht="15.75" customHeight="1">
      <c r="B193" s="67">
        <v>0</v>
      </c>
      <c r="C193" s="48">
        <v>0</v>
      </c>
      <c r="D193" s="48">
        <v>0</v>
      </c>
      <c r="E193" s="48">
        <v>0</v>
      </c>
      <c r="F193" s="48">
        <v>0</v>
      </c>
      <c r="G193" s="48">
        <v>0</v>
      </c>
      <c r="H193" s="48">
        <v>0</v>
      </c>
      <c r="I193" s="48">
        <v>0</v>
      </c>
    </row>
    <row r="194" spans="2:9" ht="15.75" customHeight="1">
      <c r="B194" s="67">
        <v>0</v>
      </c>
      <c r="C194" s="48">
        <v>0</v>
      </c>
      <c r="D194" s="48">
        <v>0</v>
      </c>
      <c r="E194" s="48">
        <v>0</v>
      </c>
      <c r="F194" s="48">
        <v>0</v>
      </c>
      <c r="G194" s="48">
        <v>0</v>
      </c>
      <c r="H194" s="48">
        <v>0</v>
      </c>
      <c r="I194" s="48">
        <v>0</v>
      </c>
    </row>
    <row r="195" spans="2:9" ht="15.75" customHeight="1">
      <c r="B195" s="67">
        <v>0</v>
      </c>
      <c r="C195" s="48">
        <v>0</v>
      </c>
      <c r="D195" s="48">
        <v>0</v>
      </c>
      <c r="E195" s="48">
        <v>0</v>
      </c>
      <c r="F195" s="48">
        <v>0</v>
      </c>
      <c r="G195" s="48">
        <v>0</v>
      </c>
      <c r="H195" s="48">
        <v>0</v>
      </c>
      <c r="I195" s="48">
        <v>0</v>
      </c>
    </row>
    <row r="196" spans="2:9" ht="15.75" customHeight="1">
      <c r="B196" s="67">
        <v>0</v>
      </c>
      <c r="C196" s="48">
        <v>0</v>
      </c>
      <c r="D196" s="48">
        <v>0</v>
      </c>
      <c r="E196" s="48">
        <v>0</v>
      </c>
      <c r="F196" s="48">
        <v>0</v>
      </c>
      <c r="G196" s="48">
        <v>0</v>
      </c>
      <c r="H196" s="48">
        <v>0</v>
      </c>
      <c r="I196" s="48">
        <v>0</v>
      </c>
    </row>
    <row r="197" spans="2:9" ht="15.75" customHeight="1">
      <c r="B197" s="67">
        <v>0</v>
      </c>
      <c r="C197" s="48">
        <v>0</v>
      </c>
      <c r="D197" s="48">
        <v>0</v>
      </c>
      <c r="E197" s="48">
        <v>0</v>
      </c>
      <c r="F197" s="48">
        <v>0</v>
      </c>
      <c r="G197" s="48">
        <v>0</v>
      </c>
      <c r="H197" s="48">
        <v>0</v>
      </c>
      <c r="I197" s="48">
        <v>0</v>
      </c>
    </row>
    <row r="198" spans="2:9" ht="15.75" customHeight="1">
      <c r="B198" s="67">
        <v>0</v>
      </c>
      <c r="C198" s="48">
        <v>0</v>
      </c>
      <c r="D198" s="48">
        <v>0</v>
      </c>
      <c r="E198" s="48">
        <v>0</v>
      </c>
      <c r="F198" s="48">
        <v>0</v>
      </c>
      <c r="G198" s="48">
        <v>0</v>
      </c>
      <c r="H198" s="48">
        <v>0</v>
      </c>
      <c r="I198" s="48">
        <v>0</v>
      </c>
    </row>
    <row r="199" spans="2:9" ht="15.75" customHeight="1">
      <c r="B199" s="67">
        <v>0</v>
      </c>
      <c r="C199" s="48">
        <v>0</v>
      </c>
      <c r="D199" s="48">
        <v>0</v>
      </c>
      <c r="E199" s="48">
        <v>0</v>
      </c>
      <c r="F199" s="48">
        <v>0</v>
      </c>
      <c r="G199" s="48">
        <v>0</v>
      </c>
      <c r="H199" s="48">
        <v>0</v>
      </c>
      <c r="I199" s="48">
        <v>0</v>
      </c>
    </row>
    <row r="200" spans="2:9" ht="15.75" customHeight="1">
      <c r="B200" s="67">
        <v>0</v>
      </c>
      <c r="C200" s="48">
        <v>0</v>
      </c>
      <c r="D200" s="48">
        <v>0</v>
      </c>
      <c r="E200" s="48">
        <v>0</v>
      </c>
      <c r="F200" s="48">
        <v>0</v>
      </c>
      <c r="G200" s="48">
        <v>0</v>
      </c>
      <c r="H200" s="48">
        <v>0</v>
      </c>
      <c r="I200" s="48">
        <v>0</v>
      </c>
    </row>
    <row r="201" spans="2:9" ht="15.75" customHeight="1">
      <c r="B201" s="67">
        <v>0</v>
      </c>
      <c r="C201" s="48">
        <v>0</v>
      </c>
      <c r="D201" s="48">
        <v>0</v>
      </c>
      <c r="E201" s="48">
        <v>0</v>
      </c>
      <c r="F201" s="48">
        <v>0</v>
      </c>
      <c r="G201" s="48">
        <v>0</v>
      </c>
      <c r="H201" s="48">
        <v>0</v>
      </c>
      <c r="I201" s="48">
        <v>0</v>
      </c>
    </row>
    <row r="202" spans="2:9" ht="15.75" customHeight="1">
      <c r="B202" s="67">
        <v>0</v>
      </c>
      <c r="C202" s="48">
        <v>0</v>
      </c>
      <c r="D202" s="48">
        <v>0</v>
      </c>
      <c r="E202" s="48">
        <v>0</v>
      </c>
      <c r="F202" s="48">
        <v>0</v>
      </c>
      <c r="G202" s="48">
        <v>0</v>
      </c>
      <c r="H202" s="48">
        <v>0</v>
      </c>
      <c r="I202" s="48">
        <v>0</v>
      </c>
    </row>
    <row r="203" spans="2:9" ht="15.75" customHeight="1">
      <c r="B203" s="67">
        <v>0</v>
      </c>
      <c r="C203" s="48">
        <v>0</v>
      </c>
      <c r="G203" s="48">
        <v>0</v>
      </c>
      <c r="H203" s="48">
        <v>0</v>
      </c>
      <c r="I203" s="48">
        <v>0</v>
      </c>
    </row>
    <row r="204" spans="2:9" ht="15.75" customHeight="1">
      <c r="G204" s="48">
        <v>0</v>
      </c>
      <c r="H204" s="48">
        <v>0</v>
      </c>
      <c r="I204" s="48">
        <v>0</v>
      </c>
    </row>
    <row r="205" spans="2:9" ht="15.75" customHeight="1">
      <c r="G205" s="48">
        <v>0</v>
      </c>
      <c r="H205" s="48">
        <v>0</v>
      </c>
      <c r="I205" s="48">
        <v>0</v>
      </c>
    </row>
    <row r="206" spans="2:9" ht="15.75" customHeight="1">
      <c r="G206" s="48">
        <v>0</v>
      </c>
      <c r="H206" s="48">
        <v>0</v>
      </c>
      <c r="I206" s="48">
        <v>0</v>
      </c>
    </row>
    <row r="207" spans="2:9" ht="15.75" customHeight="1">
      <c r="G207" s="48">
        <v>0</v>
      </c>
      <c r="H207" s="48">
        <v>0</v>
      </c>
      <c r="I207" s="48">
        <v>0</v>
      </c>
    </row>
  </sheetData>
  <sheetProtection autoFilter="0"/>
  <autoFilter ref="A1:H203" xr:uid="{7A3574E9-5276-4E23-99FE-FD975CC520D2}"/>
  <mergeCells count="2">
    <mergeCell ref="A1:A3"/>
    <mergeCell ref="B2:B3"/>
  </mergeCells>
  <dataValidations count="1">
    <dataValidation type="list" allowBlank="1" showInputMessage="1" showErrorMessage="1" sqref="T11" xr:uid="{1C59CAE6-E556-4DDC-B316-9DADD01A37A3}">
      <formula1>"NS,NI,TODOS"</formula1>
    </dataValidation>
  </dataValidations>
  <pageMargins left="0.511811024" right="0.511811024" top="0.78740157499999996" bottom="0.78740157499999996" header="0.31496062000000002" footer="0.3149606200000000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7B540-F508-4BAC-A01C-A05CDC1D8F56}">
  <dimension ref="A1:AB39"/>
  <sheetViews>
    <sheetView tabSelected="1" workbookViewId="0">
      <selection activeCell="I32" sqref="I32"/>
    </sheetView>
  </sheetViews>
  <sheetFormatPr baseColWidth="10" defaultColWidth="9.1640625" defaultRowHeight="16"/>
  <cols>
    <col min="1" max="1" width="41.83203125" style="56" bestFit="1" customWidth="1"/>
    <col min="2" max="2" width="9.1640625" style="56"/>
    <col min="3" max="3" width="13.5" style="56" bestFit="1" customWidth="1"/>
    <col min="4" max="6" width="14.5" style="56" bestFit="1" customWidth="1"/>
    <col min="7" max="8" width="13.5" style="56" bestFit="1" customWidth="1"/>
    <col min="9" max="9" width="11.6640625" style="56" bestFit="1" customWidth="1"/>
    <col min="10" max="10" width="14.5" style="56" bestFit="1" customWidth="1"/>
    <col min="11" max="11" width="16.33203125" style="56" bestFit="1" customWidth="1"/>
    <col min="12" max="12" width="14.5" style="56" bestFit="1" customWidth="1"/>
    <col min="13" max="13" width="17.5" style="56" bestFit="1" customWidth="1"/>
    <col min="14" max="14" width="13.5" style="56" bestFit="1" customWidth="1"/>
    <col min="15" max="16" width="21.5" style="56" bestFit="1" customWidth="1"/>
    <col min="17" max="17" width="15" style="56" customWidth="1"/>
    <col min="18" max="20" width="17.33203125" style="56" hidden="1" customWidth="1"/>
    <col min="21" max="21" width="10.6640625" style="56" hidden="1" customWidth="1"/>
    <col min="22" max="22" width="9.5" style="56" hidden="1" customWidth="1"/>
    <col min="23" max="23" width="11.1640625" style="56" hidden="1" customWidth="1"/>
    <col min="24" max="24" width="10.6640625" style="56" hidden="1" customWidth="1"/>
    <col min="25" max="25" width="9.5" style="56" hidden="1" customWidth="1"/>
    <col min="26" max="26" width="11.1640625" style="56" hidden="1" customWidth="1"/>
    <col min="27" max="27" width="25.83203125" style="56" hidden="1" customWidth="1"/>
    <col min="28" max="16384" width="9.1640625" style="56"/>
  </cols>
  <sheetData>
    <row r="1" spans="1:28" ht="34">
      <c r="A1" s="121" t="s">
        <v>44</v>
      </c>
      <c r="B1" s="121" t="s">
        <v>45</v>
      </c>
      <c r="C1" s="54" t="s">
        <v>46</v>
      </c>
      <c r="D1" s="54" t="s">
        <v>47</v>
      </c>
      <c r="E1" s="54" t="s">
        <v>48</v>
      </c>
      <c r="F1" s="54" t="s">
        <v>49</v>
      </c>
      <c r="G1" s="54" t="s">
        <v>85</v>
      </c>
      <c r="H1" s="54" t="s">
        <v>51</v>
      </c>
      <c r="I1" s="54" t="s">
        <v>52</v>
      </c>
      <c r="J1" s="54" t="s">
        <v>53</v>
      </c>
      <c r="K1" s="54" t="s">
        <v>88</v>
      </c>
      <c r="L1" s="54" t="s">
        <v>55</v>
      </c>
      <c r="M1" s="54" t="s">
        <v>56</v>
      </c>
      <c r="N1" s="54" t="s">
        <v>57</v>
      </c>
      <c r="O1" s="54" t="s">
        <v>58</v>
      </c>
      <c r="P1" s="54" t="s">
        <v>59</v>
      </c>
      <c r="Q1" s="125" t="s">
        <v>349</v>
      </c>
      <c r="R1" s="126" t="s">
        <v>358</v>
      </c>
      <c r="S1" s="126"/>
      <c r="T1" s="126"/>
      <c r="U1" s="123" t="s">
        <v>359</v>
      </c>
      <c r="V1" s="123"/>
      <c r="W1" s="123"/>
      <c r="X1" s="123" t="s">
        <v>359</v>
      </c>
      <c r="Y1" s="123"/>
      <c r="Z1" s="123"/>
      <c r="AA1" s="75" t="s">
        <v>359</v>
      </c>
    </row>
    <row r="2" spans="1:28" ht="17">
      <c r="A2" s="121"/>
      <c r="B2" s="121"/>
      <c r="C2" s="121" t="s">
        <v>60</v>
      </c>
      <c r="D2" s="121" t="s">
        <v>61</v>
      </c>
      <c r="E2" s="121" t="s">
        <v>62</v>
      </c>
      <c r="F2" s="121" t="s">
        <v>63</v>
      </c>
      <c r="G2" s="121" t="s">
        <v>64</v>
      </c>
      <c r="H2" s="121" t="s">
        <v>65</v>
      </c>
      <c r="I2" s="121" t="s">
        <v>66</v>
      </c>
      <c r="J2" s="54" t="s">
        <v>67</v>
      </c>
      <c r="K2" s="54" t="s">
        <v>89</v>
      </c>
      <c r="L2" s="121" t="s">
        <v>69</v>
      </c>
      <c r="M2" s="121" t="s">
        <v>70</v>
      </c>
      <c r="N2" s="121" t="s">
        <v>71</v>
      </c>
      <c r="O2" s="121" t="s">
        <v>72</v>
      </c>
      <c r="P2" s="121" t="s">
        <v>73</v>
      </c>
      <c r="Q2" s="125"/>
      <c r="R2" s="127" t="s">
        <v>354</v>
      </c>
      <c r="S2" s="128" t="s">
        <v>353</v>
      </c>
      <c r="T2" s="128" t="s">
        <v>357</v>
      </c>
      <c r="U2" s="124" t="s">
        <v>355</v>
      </c>
      <c r="V2" s="123" t="s">
        <v>353</v>
      </c>
      <c r="W2" s="123" t="s">
        <v>357</v>
      </c>
      <c r="X2" s="124" t="s">
        <v>356</v>
      </c>
      <c r="Y2" s="123" t="s">
        <v>353</v>
      </c>
      <c r="Z2" s="123" t="s">
        <v>357</v>
      </c>
      <c r="AA2" s="123" t="s">
        <v>360</v>
      </c>
      <c r="AB2"/>
    </row>
    <row r="3" spans="1:28" ht="17">
      <c r="A3" s="121"/>
      <c r="B3" s="121"/>
      <c r="C3" s="121"/>
      <c r="D3" s="121"/>
      <c r="E3" s="121"/>
      <c r="F3" s="121"/>
      <c r="G3" s="121"/>
      <c r="H3" s="121"/>
      <c r="I3" s="121"/>
      <c r="J3" s="54" t="s">
        <v>74</v>
      </c>
      <c r="K3" s="54" t="s">
        <v>75</v>
      </c>
      <c r="L3" s="121"/>
      <c r="M3" s="121"/>
      <c r="N3" s="121"/>
      <c r="O3" s="121"/>
      <c r="P3" s="121"/>
      <c r="Q3" s="125"/>
      <c r="R3" s="127"/>
      <c r="S3" s="128"/>
      <c r="T3" s="128"/>
      <c r="U3" s="124"/>
      <c r="V3" s="123"/>
      <c r="W3" s="123"/>
      <c r="X3" s="124"/>
      <c r="Y3" s="123"/>
      <c r="Z3" s="123"/>
      <c r="AA3" s="123"/>
      <c r="AB3"/>
    </row>
    <row r="4" spans="1:28" ht="17">
      <c r="A4" s="54" t="s">
        <v>24</v>
      </c>
      <c r="B4" s="54" t="str">
        <f>INDEX(PERFIL!$C$2:$C$146,MATCH(CUSTO!A4,PERFIL!$B$2:$B$146,0))</f>
        <v>NS</v>
      </c>
      <c r="C4" s="54">
        <f>INDEX(PAINEL!$B$4:$B$100,MATCH($A4,PAINEL!$A$4:$A$100,0))</f>
        <v>15</v>
      </c>
      <c r="D4" s="55">
        <v>2769.57</v>
      </c>
      <c r="E4" s="55">
        <v>4390</v>
      </c>
      <c r="F4" s="55">
        <f>D4+E4</f>
        <v>7159.57</v>
      </c>
      <c r="G4" s="55">
        <f>T4</f>
        <v>821.15419999999995</v>
      </c>
      <c r="H4" s="55">
        <v>1175</v>
      </c>
      <c r="J4" s="55">
        <f>SUM(F4:I4)</f>
        <v>9155.7242000000006</v>
      </c>
      <c r="K4" s="55">
        <f>J4*12</f>
        <v>109868.69040000001</v>
      </c>
      <c r="L4" s="55">
        <f>F4</f>
        <v>7159.57</v>
      </c>
      <c r="M4" s="55">
        <f>F4/3</f>
        <v>2386.5233333333331</v>
      </c>
      <c r="N4" s="55">
        <f>AA4</f>
        <v>1014.7603999999999</v>
      </c>
      <c r="O4" s="55">
        <f>SUM(K4:N4)</f>
        <v>120429.54413333333</v>
      </c>
      <c r="P4" s="55">
        <f>C4*O4</f>
        <v>1806443.162</v>
      </c>
      <c r="Q4" s="58" t="s">
        <v>350</v>
      </c>
      <c r="R4" s="54">
        <f>F4</f>
        <v>7159.57</v>
      </c>
      <c r="S4" s="74">
        <f>IF(R4&lt;1412.01,(105.9),IF(R4&lt;2666.69,(((R4-1412.01)*9%)+105.9),IF(R4&lt;4000.04,(((R4-2666.69)*12%)+218.82),IF(R4&lt;7786.03,(((R4-4000.04)*14%)+378.82),IF(R4&lt;13333.49,(((R4-7786.03)*14.5%)+908.86),IF(R4&lt;26666.95,(((R4-13333.49)*16.5%)+1713.24),IF(R4&lt;52000.54,(((R4-26666.95)*19%)+3913.26),IF(R4&gt;52000.54,(((R4-52000.54)*22%)+8726.64),"ERRO"))))))))</f>
        <v>821.15419999999995</v>
      </c>
      <c r="T4" s="74">
        <f>IF(S4&lt;7786.02,S4,((S4-7786.02)*8.5%)+7786.02)</f>
        <v>821.15419999999995</v>
      </c>
      <c r="U4" s="74">
        <f>L4</f>
        <v>7159.57</v>
      </c>
      <c r="V4" s="74">
        <f>IF(U4&lt;1412.01,(105.9),IF(U4&lt;2666.69,(((U4-1412.01)*9%)+105.9),IF(U4&lt;4000.04,(((U4-2666.69)*12%)+218.82),IF(U4&lt;7786.03,(((U4-4000.04)*14%)+378.82),IF(U4&lt;13333.49,(((U4-7786.03)*14.5%)+908.86),IF(U4&lt;26666.95,(((U4-13333.49)*16.5%)+1713.24),IF(U4&lt;52000.54,(((U4-26666.95)*19%)+3913.26),IF(U4&gt;52000.54,(((U4-52000.54)*22%)+8726.64),"ERRO"))))))))</f>
        <v>821.15419999999995</v>
      </c>
      <c r="W4" s="74">
        <f>IF(V4&lt;7786.02,V4,((V4-7786.02)*8.5%)+7786.02)</f>
        <v>821.15419999999995</v>
      </c>
      <c r="X4" s="74">
        <f>M4</f>
        <v>2386.5233333333331</v>
      </c>
      <c r="Y4" s="74">
        <f>IF(X4&lt;1412.01,(105.9),IF(X4&lt;2666.69,(((X4-1412.01)*9%)+105.9),IF(X4&lt;4000.04,(((X4-2666.69)*12%)+218.82),IF(X4&lt;7786.03,(((X4-4000.04)*14%)+378.82),IF(X4&lt;13333.49,(((X4-7786.03)*14.5%)+908.86),IF(X4&lt;26666.95,(((X4-13333.49)*16.5%)+1713.24),IF(X4&lt;52000.54,(((X4-26666.95)*19%)+3913.26),IF(X4&gt;52000.54,(((X4-52000.54)*22%)+8726.64),"ERRO"))))))))</f>
        <v>193.6062</v>
      </c>
      <c r="Z4" s="74">
        <f>IF(Y4&lt;7786.02,Y4,((Y4-7786.02)*8.5%)+7786.02)</f>
        <v>193.6062</v>
      </c>
      <c r="AA4" s="74">
        <f>SUM(W4,Z4)</f>
        <v>1014.7603999999999</v>
      </c>
      <c r="AB4"/>
    </row>
    <row r="5" spans="1:28" ht="17">
      <c r="A5" s="57" t="s">
        <v>110</v>
      </c>
      <c r="B5" s="54" t="str">
        <f>INDEX(PERFIL!$C$2:$C$146,MATCH(CUSTO!A5,PERFIL!$B$2:$B$146,0))</f>
        <v>NS</v>
      </c>
      <c r="C5" s="54">
        <f>INDEX(PAINEL!$B$4:$B$100,MATCH($A5,PAINEL!$A$4:$A$100,0))</f>
        <v>2</v>
      </c>
      <c r="D5" s="55">
        <v>2769.57</v>
      </c>
      <c r="E5" s="55">
        <v>4390</v>
      </c>
      <c r="F5" s="55">
        <f t="shared" ref="F5:F29" si="0">D5+E5</f>
        <v>7159.57</v>
      </c>
      <c r="G5" s="55">
        <f t="shared" ref="G5:G38" si="1">T5</f>
        <v>821.15419999999995</v>
      </c>
      <c r="H5" s="55">
        <v>1175</v>
      </c>
      <c r="I5" s="54" t="s">
        <v>77</v>
      </c>
      <c r="J5" s="55">
        <f t="shared" ref="J5:J29" si="2">SUM(F5:I5)</f>
        <v>9155.7242000000006</v>
      </c>
      <c r="K5" s="55">
        <f t="shared" ref="K5:K29" si="3">J5*12</f>
        <v>109868.69040000001</v>
      </c>
      <c r="L5" s="55">
        <f t="shared" ref="L5:L29" si="4">F5</f>
        <v>7159.57</v>
      </c>
      <c r="M5" s="55">
        <f t="shared" ref="M5:M29" si="5">F5/3</f>
        <v>2386.5233333333331</v>
      </c>
      <c r="N5" s="55">
        <f t="shared" ref="N5:N38" si="6">AA5</f>
        <v>1014.7603999999999</v>
      </c>
      <c r="O5" s="55">
        <f t="shared" ref="O5:O29" si="7">SUM(K5:N5)</f>
        <v>120429.54413333333</v>
      </c>
      <c r="P5" s="55">
        <f t="shared" ref="P5:P29" si="8">C5*O5</f>
        <v>240859.08826666666</v>
      </c>
      <c r="Q5" s="58" t="s">
        <v>350</v>
      </c>
      <c r="R5" s="54">
        <f t="shared" ref="R5:R38" si="9">F5</f>
        <v>7159.57</v>
      </c>
      <c r="S5" s="74">
        <f t="shared" ref="S5:S38" si="10">IF(R5&lt;1412.01,(105.9),IF(R5&lt;2666.69,(((R5-1412.01)*9%)+105.9),IF(R5&lt;4000.04,(((R5-2666.69)*12%)+218.82),IF(R5&lt;7786.03,(((R5-4000.04)*14%)+378.82),IF(R5&lt;13333.49,(((R5-7786.03)*14.5%)+908.86),IF(R5&lt;26666.95,(((R5-13333.49)*16.5%)+1713.24),IF(R5&lt;52000.54,(((R5-26666.95)*19%)+3913.26),IF(R5&gt;52000.54,(((R5-52000.54)*22%)+8726.64),"ERRO"))))))))</f>
        <v>821.15419999999995</v>
      </c>
      <c r="T5" s="74">
        <f t="shared" ref="T5:T38" si="11">IF(S5&lt;7786.02,S5,((S5-7786.02)*8.5%)+7786.02)</f>
        <v>821.15419999999995</v>
      </c>
      <c r="U5" s="74">
        <f t="shared" ref="U5:U38" si="12">L5</f>
        <v>7159.57</v>
      </c>
      <c r="V5" s="74">
        <f t="shared" ref="V5:V38" si="13">IF(U5&lt;1412.01,(105.9),IF(U5&lt;2666.69,(((U5-1412.01)*9%)+105.9),IF(U5&lt;4000.04,(((U5-2666.69)*12%)+218.82),IF(U5&lt;7786.03,(((U5-4000.04)*14%)+378.82),IF(U5&lt;13333.49,(((U5-7786.03)*14.5%)+908.86),IF(U5&lt;26666.95,(((U5-13333.49)*16.5%)+1713.24),IF(U5&lt;52000.54,(((U5-26666.95)*19%)+3913.26),IF(U5&gt;52000.54,(((U5-52000.54)*22%)+8726.64),"ERRO"))))))))</f>
        <v>821.15419999999995</v>
      </c>
      <c r="W5" s="74">
        <f t="shared" ref="W5:W38" si="14">IF(V5&lt;7786.02,V5,((V5-7786.02)*8.5%)+7786.02)</f>
        <v>821.15419999999995</v>
      </c>
      <c r="X5" s="74">
        <f t="shared" ref="X5:X38" si="15">M5</f>
        <v>2386.5233333333331</v>
      </c>
      <c r="Y5" s="74">
        <f t="shared" ref="Y5:Y38" si="16">IF(X5&lt;1412.01,(105.9),IF(X5&lt;2666.69,(((X5-1412.01)*9%)+105.9),IF(X5&lt;4000.04,(((X5-2666.69)*12%)+218.82),IF(X5&lt;7786.03,(((X5-4000.04)*14%)+378.82),IF(X5&lt;13333.49,(((X5-7786.03)*14.5%)+908.86),IF(X5&lt;26666.95,(((X5-13333.49)*16.5%)+1713.24),IF(X5&lt;52000.54,(((X5-26666.95)*19%)+3913.26),IF(X5&gt;52000.54,(((X5-52000.54)*22%)+8726.64),"ERRO"))))))))</f>
        <v>193.6062</v>
      </c>
      <c r="Z5" s="74">
        <f t="shared" ref="Z5:Z38" si="17">IF(Y5&lt;7786.02,Y5,((Y5-7786.02)*8.5%)+7786.02)</f>
        <v>193.6062</v>
      </c>
      <c r="AA5" s="74">
        <f t="shared" ref="AA5:AA38" si="18">SUM(W5,Z5)</f>
        <v>1014.7603999999999</v>
      </c>
      <c r="AB5"/>
    </row>
    <row r="6" spans="1:28" ht="17">
      <c r="A6" s="57" t="s">
        <v>14</v>
      </c>
      <c r="B6" s="54" t="str">
        <f>INDEX(PERFIL!$C$2:$C$146,MATCH(CUSTO!A6,PERFIL!$B$2:$B$146,0))</f>
        <v>NS</v>
      </c>
      <c r="C6" s="54">
        <f>INDEX(PAINEL!$B$4:$B$100,MATCH($A6,PAINEL!$A$4:$A$100,0))</f>
        <v>4</v>
      </c>
      <c r="D6" s="55">
        <v>2769.57</v>
      </c>
      <c r="E6" s="55">
        <v>4390</v>
      </c>
      <c r="F6" s="55">
        <f t="shared" si="0"/>
        <v>7159.57</v>
      </c>
      <c r="G6" s="55">
        <f t="shared" si="1"/>
        <v>821.15419999999995</v>
      </c>
      <c r="H6" s="55">
        <v>1175</v>
      </c>
      <c r="I6" s="54" t="s">
        <v>77</v>
      </c>
      <c r="J6" s="55">
        <f t="shared" si="2"/>
        <v>9155.7242000000006</v>
      </c>
      <c r="K6" s="55">
        <f t="shared" si="3"/>
        <v>109868.69040000001</v>
      </c>
      <c r="L6" s="55">
        <f t="shared" si="4"/>
        <v>7159.57</v>
      </c>
      <c r="M6" s="55">
        <f t="shared" si="5"/>
        <v>2386.5233333333331</v>
      </c>
      <c r="N6" s="55">
        <f t="shared" si="6"/>
        <v>1014.7603999999999</v>
      </c>
      <c r="O6" s="55">
        <f t="shared" si="7"/>
        <v>120429.54413333333</v>
      </c>
      <c r="P6" s="55">
        <f t="shared" si="8"/>
        <v>481718.17653333332</v>
      </c>
      <c r="Q6" s="58" t="s">
        <v>350</v>
      </c>
      <c r="R6" s="54">
        <f t="shared" si="9"/>
        <v>7159.57</v>
      </c>
      <c r="S6" s="74">
        <f t="shared" si="10"/>
        <v>821.15419999999995</v>
      </c>
      <c r="T6" s="74">
        <f t="shared" si="11"/>
        <v>821.15419999999995</v>
      </c>
      <c r="U6" s="74">
        <f t="shared" si="12"/>
        <v>7159.57</v>
      </c>
      <c r="V6" s="74">
        <f t="shared" si="13"/>
        <v>821.15419999999995</v>
      </c>
      <c r="W6" s="74">
        <f t="shared" si="14"/>
        <v>821.15419999999995</v>
      </c>
      <c r="X6" s="74">
        <f t="shared" si="15"/>
        <v>2386.5233333333331</v>
      </c>
      <c r="Y6" s="74">
        <f t="shared" si="16"/>
        <v>193.6062</v>
      </c>
      <c r="Z6" s="74">
        <f t="shared" si="17"/>
        <v>193.6062</v>
      </c>
      <c r="AA6" s="74">
        <f t="shared" si="18"/>
        <v>1014.7603999999999</v>
      </c>
      <c r="AB6"/>
    </row>
    <row r="7" spans="1:28" ht="17">
      <c r="A7" s="57" t="s">
        <v>30</v>
      </c>
      <c r="B7" s="54" t="str">
        <f>INDEX(PERFIL!$C$2:$C$146,MATCH(CUSTO!A7,PERFIL!$B$2:$B$146,0))</f>
        <v>NI</v>
      </c>
      <c r="C7" s="54">
        <f>INDEX(PAINEL!$B$4:$B$100,MATCH($A7,PAINEL!$A$4:$A$100,0))</f>
        <v>40</v>
      </c>
      <c r="D7" s="55">
        <v>2182.59</v>
      </c>
      <c r="E7" s="55">
        <v>2605</v>
      </c>
      <c r="F7" s="55">
        <f t="shared" si="0"/>
        <v>4787.59</v>
      </c>
      <c r="G7" s="55">
        <f t="shared" si="1"/>
        <v>489.077</v>
      </c>
      <c r="H7" s="55">
        <v>1175</v>
      </c>
      <c r="I7" s="54" t="s">
        <v>77</v>
      </c>
      <c r="J7" s="55">
        <f t="shared" si="2"/>
        <v>6451.6670000000004</v>
      </c>
      <c r="K7" s="55">
        <f t="shared" si="3"/>
        <v>77420.004000000001</v>
      </c>
      <c r="L7" s="55">
        <f t="shared" si="4"/>
        <v>4787.59</v>
      </c>
      <c r="M7" s="55">
        <f t="shared" si="5"/>
        <v>1595.8633333333335</v>
      </c>
      <c r="N7" s="55">
        <f t="shared" si="6"/>
        <v>611.52380000000005</v>
      </c>
      <c r="O7" s="55">
        <f t="shared" si="7"/>
        <v>84414.98113333332</v>
      </c>
      <c r="P7" s="55">
        <f t="shared" si="8"/>
        <v>3376599.2453333326</v>
      </c>
      <c r="Q7" s="58" t="s">
        <v>350</v>
      </c>
      <c r="R7" s="54">
        <f t="shared" si="9"/>
        <v>4787.59</v>
      </c>
      <c r="S7" s="74">
        <f t="shared" si="10"/>
        <v>489.077</v>
      </c>
      <c r="T7" s="74">
        <f t="shared" si="11"/>
        <v>489.077</v>
      </c>
      <c r="U7" s="74">
        <f t="shared" si="12"/>
        <v>4787.59</v>
      </c>
      <c r="V7" s="74">
        <f t="shared" si="13"/>
        <v>489.077</v>
      </c>
      <c r="W7" s="74">
        <f t="shared" si="14"/>
        <v>489.077</v>
      </c>
      <c r="X7" s="74">
        <f t="shared" si="15"/>
        <v>1595.8633333333335</v>
      </c>
      <c r="Y7" s="74">
        <f t="shared" si="16"/>
        <v>122.44680000000002</v>
      </c>
      <c r="Z7" s="74">
        <f t="shared" si="17"/>
        <v>122.44680000000002</v>
      </c>
      <c r="AA7" s="74">
        <f t="shared" si="18"/>
        <v>611.52380000000005</v>
      </c>
    </row>
    <row r="8" spans="1:28" ht="17">
      <c r="A8" s="57" t="s">
        <v>124</v>
      </c>
      <c r="B8" s="54" t="str">
        <f>INDEX(PERFIL!$C$2:$C$146,MATCH(CUSTO!A8,PERFIL!$B$2:$B$146,0))</f>
        <v>NS</v>
      </c>
      <c r="C8" s="54">
        <f>INDEX(PAINEL!$B$4:$B$100,MATCH($A8,PAINEL!$A$4:$A$100,0))</f>
        <v>4</v>
      </c>
      <c r="D8" s="55">
        <v>2769.57</v>
      </c>
      <c r="E8" s="55">
        <v>4390</v>
      </c>
      <c r="F8" s="55">
        <f t="shared" si="0"/>
        <v>7159.57</v>
      </c>
      <c r="G8" s="55">
        <f t="shared" si="1"/>
        <v>821.15419999999995</v>
      </c>
      <c r="H8" s="55">
        <v>1175</v>
      </c>
      <c r="I8" s="54" t="s">
        <v>77</v>
      </c>
      <c r="J8" s="55">
        <f t="shared" si="2"/>
        <v>9155.7242000000006</v>
      </c>
      <c r="K8" s="55">
        <f t="shared" si="3"/>
        <v>109868.69040000001</v>
      </c>
      <c r="L8" s="55">
        <f t="shared" si="4"/>
        <v>7159.57</v>
      </c>
      <c r="M8" s="55">
        <f t="shared" si="5"/>
        <v>2386.5233333333331</v>
      </c>
      <c r="N8" s="55">
        <f t="shared" si="6"/>
        <v>1014.7603999999999</v>
      </c>
      <c r="O8" s="55">
        <f t="shared" si="7"/>
        <v>120429.54413333333</v>
      </c>
      <c r="P8" s="55">
        <f t="shared" si="8"/>
        <v>481718.17653333332</v>
      </c>
      <c r="Q8" s="58" t="s">
        <v>350</v>
      </c>
      <c r="R8" s="54">
        <f t="shared" si="9"/>
        <v>7159.57</v>
      </c>
      <c r="S8" s="74">
        <f t="shared" si="10"/>
        <v>821.15419999999995</v>
      </c>
      <c r="T8" s="74">
        <f t="shared" si="11"/>
        <v>821.15419999999995</v>
      </c>
      <c r="U8" s="74">
        <f t="shared" si="12"/>
        <v>7159.57</v>
      </c>
      <c r="V8" s="74">
        <f t="shared" si="13"/>
        <v>821.15419999999995</v>
      </c>
      <c r="W8" s="74">
        <f t="shared" si="14"/>
        <v>821.15419999999995</v>
      </c>
      <c r="X8" s="74">
        <f t="shared" si="15"/>
        <v>2386.5233333333331</v>
      </c>
      <c r="Y8" s="74">
        <f t="shared" si="16"/>
        <v>193.6062</v>
      </c>
      <c r="Z8" s="74">
        <f t="shared" si="17"/>
        <v>193.6062</v>
      </c>
      <c r="AA8" s="74">
        <f t="shared" si="18"/>
        <v>1014.7603999999999</v>
      </c>
    </row>
    <row r="9" spans="1:28" ht="17">
      <c r="A9" s="57" t="s">
        <v>133</v>
      </c>
      <c r="B9" s="54" t="str">
        <f>INDEX(PERFIL!$C$2:$C$146,MATCH(CUSTO!A9,PERFIL!$B$2:$B$146,0))</f>
        <v>NS</v>
      </c>
      <c r="C9" s="54">
        <f>INDEX(PAINEL!$B$4:$B$100,MATCH($A9,PAINEL!$A$4:$A$100,0))</f>
        <v>2</v>
      </c>
      <c r="D9" s="55">
        <v>2769.57</v>
      </c>
      <c r="E9" s="55">
        <v>4390</v>
      </c>
      <c r="F9" s="55">
        <f t="shared" si="0"/>
        <v>7159.57</v>
      </c>
      <c r="G9" s="55">
        <f t="shared" si="1"/>
        <v>821.15419999999995</v>
      </c>
      <c r="H9" s="55">
        <v>1175</v>
      </c>
      <c r="I9" s="54" t="s">
        <v>77</v>
      </c>
      <c r="J9" s="55">
        <f t="shared" si="2"/>
        <v>9155.7242000000006</v>
      </c>
      <c r="K9" s="55">
        <f t="shared" si="3"/>
        <v>109868.69040000001</v>
      </c>
      <c r="L9" s="55">
        <f t="shared" si="4"/>
        <v>7159.57</v>
      </c>
      <c r="M9" s="55">
        <f t="shared" si="5"/>
        <v>2386.5233333333331</v>
      </c>
      <c r="N9" s="55">
        <f t="shared" si="6"/>
        <v>1014.7603999999999</v>
      </c>
      <c r="O9" s="55">
        <f t="shared" si="7"/>
        <v>120429.54413333333</v>
      </c>
      <c r="P9" s="55">
        <f t="shared" si="8"/>
        <v>240859.08826666666</v>
      </c>
      <c r="Q9" s="58" t="s">
        <v>350</v>
      </c>
      <c r="R9" s="54">
        <f t="shared" si="9"/>
        <v>7159.57</v>
      </c>
      <c r="S9" s="74">
        <f t="shared" si="10"/>
        <v>821.15419999999995</v>
      </c>
      <c r="T9" s="74">
        <f t="shared" si="11"/>
        <v>821.15419999999995</v>
      </c>
      <c r="U9" s="74">
        <f t="shared" si="12"/>
        <v>7159.57</v>
      </c>
      <c r="V9" s="74">
        <f t="shared" si="13"/>
        <v>821.15419999999995</v>
      </c>
      <c r="W9" s="74">
        <f t="shared" si="14"/>
        <v>821.15419999999995</v>
      </c>
      <c r="X9" s="74">
        <f t="shared" si="15"/>
        <v>2386.5233333333331</v>
      </c>
      <c r="Y9" s="74">
        <f t="shared" si="16"/>
        <v>193.6062</v>
      </c>
      <c r="Z9" s="74">
        <f t="shared" si="17"/>
        <v>193.6062</v>
      </c>
      <c r="AA9" s="74">
        <f t="shared" si="18"/>
        <v>1014.7603999999999</v>
      </c>
    </row>
    <row r="10" spans="1:28" ht="17">
      <c r="A10" s="57" t="s">
        <v>115</v>
      </c>
      <c r="B10" s="54" t="str">
        <f>INDEX(PERFIL!$C$2:$C$146,MATCH(CUSTO!A10,PERFIL!$B$2:$B$146,0))</f>
        <v>NS</v>
      </c>
      <c r="C10" s="54">
        <f>INDEX(PAINEL!$B$4:$B$100,MATCH($A10,PAINEL!$A$4:$A$100,0))</f>
        <v>1</v>
      </c>
      <c r="D10" s="55">
        <v>3755.5</v>
      </c>
      <c r="E10" s="55">
        <v>6641</v>
      </c>
      <c r="F10" s="55">
        <f t="shared" si="0"/>
        <v>10396.5</v>
      </c>
      <c r="G10" s="55">
        <f t="shared" si="1"/>
        <v>1287.37815</v>
      </c>
      <c r="H10" s="55">
        <v>1175</v>
      </c>
      <c r="I10" s="54" t="s">
        <v>77</v>
      </c>
      <c r="J10" s="55">
        <f t="shared" si="2"/>
        <v>12858.87815</v>
      </c>
      <c r="K10" s="55">
        <f t="shared" si="3"/>
        <v>154306.53779999999</v>
      </c>
      <c r="L10" s="55">
        <f t="shared" si="4"/>
        <v>10396.5</v>
      </c>
      <c r="M10" s="55">
        <f t="shared" si="5"/>
        <v>3465.5</v>
      </c>
      <c r="N10" s="55">
        <f t="shared" si="6"/>
        <v>1602.0553500000001</v>
      </c>
      <c r="O10" s="55">
        <f t="shared" si="7"/>
        <v>169770.59315</v>
      </c>
      <c r="P10" s="55">
        <f t="shared" si="8"/>
        <v>169770.59315</v>
      </c>
      <c r="Q10" s="58" t="s">
        <v>350</v>
      </c>
      <c r="R10" s="54">
        <f t="shared" si="9"/>
        <v>10396.5</v>
      </c>
      <c r="S10" s="74">
        <f t="shared" si="10"/>
        <v>1287.37815</v>
      </c>
      <c r="T10" s="74">
        <f t="shared" si="11"/>
        <v>1287.37815</v>
      </c>
      <c r="U10" s="74">
        <f t="shared" si="12"/>
        <v>10396.5</v>
      </c>
      <c r="V10" s="74">
        <f t="shared" si="13"/>
        <v>1287.37815</v>
      </c>
      <c r="W10" s="74">
        <f t="shared" si="14"/>
        <v>1287.37815</v>
      </c>
      <c r="X10" s="74">
        <f t="shared" si="15"/>
        <v>3465.5</v>
      </c>
      <c r="Y10" s="74">
        <f t="shared" si="16"/>
        <v>314.67719999999997</v>
      </c>
      <c r="Z10" s="74">
        <f t="shared" si="17"/>
        <v>314.67719999999997</v>
      </c>
      <c r="AA10" s="74">
        <f t="shared" si="18"/>
        <v>1602.0553500000001</v>
      </c>
    </row>
    <row r="11" spans="1:28" ht="17">
      <c r="A11" s="57" t="s">
        <v>112</v>
      </c>
      <c r="B11" s="54" t="str">
        <f>INDEX(PERFIL!$C$2:$C$146,MATCH(CUSTO!A11,PERFIL!$B$2:$B$146,0))</f>
        <v>NS</v>
      </c>
      <c r="C11" s="54">
        <f>INDEX(PAINEL!$B$4:$B$100,MATCH($A11,PAINEL!$A$4:$A$100,0))</f>
        <v>3</v>
      </c>
      <c r="D11" s="55">
        <v>2769.57</v>
      </c>
      <c r="E11" s="55">
        <v>4390</v>
      </c>
      <c r="F11" s="55">
        <f t="shared" si="0"/>
        <v>7159.57</v>
      </c>
      <c r="G11" s="55">
        <f t="shared" si="1"/>
        <v>821.15419999999995</v>
      </c>
      <c r="H11" s="55">
        <v>1175</v>
      </c>
      <c r="I11" s="54" t="s">
        <v>77</v>
      </c>
      <c r="J11" s="55">
        <f t="shared" si="2"/>
        <v>9155.7242000000006</v>
      </c>
      <c r="K11" s="55">
        <f t="shared" si="3"/>
        <v>109868.69040000001</v>
      </c>
      <c r="L11" s="55">
        <f t="shared" si="4"/>
        <v>7159.57</v>
      </c>
      <c r="M11" s="55">
        <f t="shared" si="5"/>
        <v>2386.5233333333331</v>
      </c>
      <c r="N11" s="55">
        <f t="shared" si="6"/>
        <v>1014.7603999999999</v>
      </c>
      <c r="O11" s="55">
        <f t="shared" si="7"/>
        <v>120429.54413333333</v>
      </c>
      <c r="P11" s="55">
        <f t="shared" si="8"/>
        <v>361288.6324</v>
      </c>
      <c r="Q11" s="58" t="s">
        <v>350</v>
      </c>
      <c r="R11" s="54">
        <f t="shared" si="9"/>
        <v>7159.57</v>
      </c>
      <c r="S11" s="74">
        <f t="shared" si="10"/>
        <v>821.15419999999995</v>
      </c>
      <c r="T11" s="74">
        <f t="shared" si="11"/>
        <v>821.15419999999995</v>
      </c>
      <c r="U11" s="74">
        <f t="shared" si="12"/>
        <v>7159.57</v>
      </c>
      <c r="V11" s="74">
        <f t="shared" si="13"/>
        <v>821.15419999999995</v>
      </c>
      <c r="W11" s="74">
        <f t="shared" si="14"/>
        <v>821.15419999999995</v>
      </c>
      <c r="X11" s="74">
        <f t="shared" si="15"/>
        <v>2386.5233333333331</v>
      </c>
      <c r="Y11" s="74">
        <f t="shared" si="16"/>
        <v>193.6062</v>
      </c>
      <c r="Z11" s="74">
        <f t="shared" si="17"/>
        <v>193.6062</v>
      </c>
      <c r="AA11" s="74">
        <f t="shared" si="18"/>
        <v>1014.7603999999999</v>
      </c>
    </row>
    <row r="12" spans="1:28" ht="17">
      <c r="A12" s="57" t="s">
        <v>111</v>
      </c>
      <c r="B12" s="54" t="str">
        <f>INDEX(PERFIL!$C$2:$C$146,MATCH(CUSTO!A12,PERFIL!$B$2:$B$146,0))</f>
        <v>NS</v>
      </c>
      <c r="C12" s="54">
        <f>INDEX(PAINEL!$B$4:$B$100,MATCH($A12,PAINEL!$A$4:$A$100,0))</f>
        <v>5</v>
      </c>
      <c r="D12" s="55">
        <v>2769.57</v>
      </c>
      <c r="E12" s="55">
        <v>4390</v>
      </c>
      <c r="F12" s="55">
        <f t="shared" si="0"/>
        <v>7159.57</v>
      </c>
      <c r="G12" s="55">
        <f t="shared" si="1"/>
        <v>821.15419999999995</v>
      </c>
      <c r="H12" s="55">
        <v>1175</v>
      </c>
      <c r="I12" s="54" t="s">
        <v>77</v>
      </c>
      <c r="J12" s="55">
        <f t="shared" si="2"/>
        <v>9155.7242000000006</v>
      </c>
      <c r="K12" s="55">
        <f t="shared" si="3"/>
        <v>109868.69040000001</v>
      </c>
      <c r="L12" s="55">
        <f t="shared" si="4"/>
        <v>7159.57</v>
      </c>
      <c r="M12" s="55">
        <f t="shared" si="5"/>
        <v>2386.5233333333331</v>
      </c>
      <c r="N12" s="55">
        <f t="shared" si="6"/>
        <v>1014.7603999999999</v>
      </c>
      <c r="O12" s="55">
        <f t="shared" si="7"/>
        <v>120429.54413333333</v>
      </c>
      <c r="P12" s="55">
        <f t="shared" si="8"/>
        <v>602147.72066666663</v>
      </c>
      <c r="Q12" s="58" t="s">
        <v>350</v>
      </c>
      <c r="R12" s="54">
        <f t="shared" si="9"/>
        <v>7159.57</v>
      </c>
      <c r="S12" s="74">
        <f t="shared" si="10"/>
        <v>821.15419999999995</v>
      </c>
      <c r="T12" s="74">
        <f t="shared" si="11"/>
        <v>821.15419999999995</v>
      </c>
      <c r="U12" s="74">
        <f t="shared" si="12"/>
        <v>7159.57</v>
      </c>
      <c r="V12" s="74">
        <f t="shared" si="13"/>
        <v>821.15419999999995</v>
      </c>
      <c r="W12" s="74">
        <f t="shared" si="14"/>
        <v>821.15419999999995</v>
      </c>
      <c r="X12" s="74">
        <f t="shared" si="15"/>
        <v>2386.5233333333331</v>
      </c>
      <c r="Y12" s="74">
        <f t="shared" si="16"/>
        <v>193.6062</v>
      </c>
      <c r="Z12" s="74">
        <f t="shared" si="17"/>
        <v>193.6062</v>
      </c>
      <c r="AA12" s="74">
        <f t="shared" si="18"/>
        <v>1014.7603999999999</v>
      </c>
    </row>
    <row r="13" spans="1:28" ht="17">
      <c r="A13" s="57" t="s">
        <v>134</v>
      </c>
      <c r="B13" s="54" t="str">
        <f>INDEX(PERFIL!$C$2:$C$146,MATCH(CUSTO!A13,PERFIL!$B$2:$B$146,0))</f>
        <v>NI</v>
      </c>
      <c r="C13" s="54">
        <f>INDEX(PAINEL!$B$4:$B$100,MATCH($A13,PAINEL!$A$4:$A$100,0))</f>
        <v>6</v>
      </c>
      <c r="D13" s="55">
        <v>2182.59</v>
      </c>
      <c r="E13" s="55">
        <v>2605</v>
      </c>
      <c r="F13" s="55">
        <f t="shared" si="0"/>
        <v>4787.59</v>
      </c>
      <c r="G13" s="55">
        <f t="shared" si="1"/>
        <v>489.077</v>
      </c>
      <c r="H13" s="55">
        <v>1175</v>
      </c>
      <c r="I13" s="54" t="s">
        <v>77</v>
      </c>
      <c r="J13" s="55">
        <f t="shared" si="2"/>
        <v>6451.6670000000004</v>
      </c>
      <c r="K13" s="55">
        <f t="shared" si="3"/>
        <v>77420.004000000001</v>
      </c>
      <c r="L13" s="55">
        <f t="shared" si="4"/>
        <v>4787.59</v>
      </c>
      <c r="M13" s="55">
        <f t="shared" si="5"/>
        <v>1595.8633333333335</v>
      </c>
      <c r="N13" s="55">
        <f t="shared" si="6"/>
        <v>611.52380000000005</v>
      </c>
      <c r="O13" s="55">
        <f t="shared" si="7"/>
        <v>84414.98113333332</v>
      </c>
      <c r="P13" s="55">
        <f t="shared" si="8"/>
        <v>506489.88679999992</v>
      </c>
      <c r="Q13" s="58" t="s">
        <v>350</v>
      </c>
      <c r="R13" s="54">
        <f t="shared" si="9"/>
        <v>4787.59</v>
      </c>
      <c r="S13" s="74">
        <f t="shared" si="10"/>
        <v>489.077</v>
      </c>
      <c r="T13" s="74">
        <f t="shared" si="11"/>
        <v>489.077</v>
      </c>
      <c r="U13" s="74">
        <f t="shared" si="12"/>
        <v>4787.59</v>
      </c>
      <c r="V13" s="74">
        <f t="shared" si="13"/>
        <v>489.077</v>
      </c>
      <c r="W13" s="74">
        <f t="shared" si="14"/>
        <v>489.077</v>
      </c>
      <c r="X13" s="74">
        <f t="shared" si="15"/>
        <v>1595.8633333333335</v>
      </c>
      <c r="Y13" s="74">
        <f t="shared" si="16"/>
        <v>122.44680000000002</v>
      </c>
      <c r="Z13" s="74">
        <f t="shared" si="17"/>
        <v>122.44680000000002</v>
      </c>
      <c r="AA13" s="74">
        <f t="shared" si="18"/>
        <v>611.52380000000005</v>
      </c>
    </row>
    <row r="14" spans="1:28" ht="17">
      <c r="A14" s="57" t="s">
        <v>11</v>
      </c>
      <c r="B14" s="54" t="str">
        <f>INDEX(PERFIL!$C$2:$C$146,MATCH(CUSTO!A14,PERFIL!$B$2:$B$146,0))</f>
        <v>NS</v>
      </c>
      <c r="C14" s="54">
        <f>INDEX(PAINEL!$B$4:$B$100,MATCH($A14,PAINEL!$A$4:$A$100,0))</f>
        <v>4</v>
      </c>
      <c r="D14" s="55">
        <v>2769.57</v>
      </c>
      <c r="E14" s="55">
        <v>4390</v>
      </c>
      <c r="F14" s="55">
        <f t="shared" si="0"/>
        <v>7159.57</v>
      </c>
      <c r="G14" s="55">
        <f t="shared" si="1"/>
        <v>821.15419999999995</v>
      </c>
      <c r="H14" s="55">
        <v>1175</v>
      </c>
      <c r="I14" s="54" t="s">
        <v>77</v>
      </c>
      <c r="J14" s="55">
        <f t="shared" si="2"/>
        <v>9155.7242000000006</v>
      </c>
      <c r="K14" s="55">
        <f t="shared" si="3"/>
        <v>109868.69040000001</v>
      </c>
      <c r="L14" s="55">
        <f t="shared" si="4"/>
        <v>7159.57</v>
      </c>
      <c r="M14" s="55">
        <f t="shared" si="5"/>
        <v>2386.5233333333331</v>
      </c>
      <c r="N14" s="55">
        <f t="shared" si="6"/>
        <v>1014.7603999999999</v>
      </c>
      <c r="O14" s="55">
        <f t="shared" si="7"/>
        <v>120429.54413333333</v>
      </c>
      <c r="P14" s="55">
        <f t="shared" si="8"/>
        <v>481718.17653333332</v>
      </c>
      <c r="Q14" s="58" t="s">
        <v>350</v>
      </c>
      <c r="R14" s="54">
        <f t="shared" si="9"/>
        <v>7159.57</v>
      </c>
      <c r="S14" s="74">
        <f t="shared" si="10"/>
        <v>821.15419999999995</v>
      </c>
      <c r="T14" s="74">
        <f t="shared" si="11"/>
        <v>821.15419999999995</v>
      </c>
      <c r="U14" s="74">
        <f t="shared" si="12"/>
        <v>7159.57</v>
      </c>
      <c r="V14" s="74">
        <f t="shared" si="13"/>
        <v>821.15419999999995</v>
      </c>
      <c r="W14" s="74">
        <f t="shared" si="14"/>
        <v>821.15419999999995</v>
      </c>
      <c r="X14" s="74">
        <f t="shared" si="15"/>
        <v>2386.5233333333331</v>
      </c>
      <c r="Y14" s="74">
        <f t="shared" si="16"/>
        <v>193.6062</v>
      </c>
      <c r="Z14" s="74">
        <f t="shared" si="17"/>
        <v>193.6062</v>
      </c>
      <c r="AA14" s="74">
        <f t="shared" si="18"/>
        <v>1014.7603999999999</v>
      </c>
    </row>
    <row r="15" spans="1:28" ht="17">
      <c r="A15" s="57" t="s">
        <v>22</v>
      </c>
      <c r="B15" s="54" t="str">
        <f>INDEX(PERFIL!$C$2:$C$146,MATCH(CUSTO!A15,PERFIL!$B$2:$B$146,0))</f>
        <v>NS</v>
      </c>
      <c r="C15" s="54">
        <f>INDEX(PAINEL!$B$4:$B$100,MATCH($A15,PAINEL!$A$4:$A$100,0))</f>
        <v>6</v>
      </c>
      <c r="D15" s="55">
        <v>2769.57</v>
      </c>
      <c r="E15" s="55">
        <v>4390</v>
      </c>
      <c r="F15" s="55">
        <f t="shared" si="0"/>
        <v>7159.57</v>
      </c>
      <c r="G15" s="55">
        <f t="shared" si="1"/>
        <v>821.15419999999995</v>
      </c>
      <c r="H15" s="55">
        <v>1175</v>
      </c>
      <c r="I15" s="54" t="s">
        <v>77</v>
      </c>
      <c r="J15" s="55">
        <f t="shared" si="2"/>
        <v>9155.7242000000006</v>
      </c>
      <c r="K15" s="55">
        <f t="shared" si="3"/>
        <v>109868.69040000001</v>
      </c>
      <c r="L15" s="55">
        <f t="shared" si="4"/>
        <v>7159.57</v>
      </c>
      <c r="M15" s="55">
        <f t="shared" si="5"/>
        <v>2386.5233333333331</v>
      </c>
      <c r="N15" s="55">
        <f t="shared" si="6"/>
        <v>1014.7603999999999</v>
      </c>
      <c r="O15" s="55">
        <f t="shared" si="7"/>
        <v>120429.54413333333</v>
      </c>
      <c r="P15" s="55">
        <f t="shared" si="8"/>
        <v>722577.2648</v>
      </c>
      <c r="Q15" s="58" t="s">
        <v>350</v>
      </c>
      <c r="R15" s="54">
        <f t="shared" si="9"/>
        <v>7159.57</v>
      </c>
      <c r="S15" s="74">
        <f t="shared" si="10"/>
        <v>821.15419999999995</v>
      </c>
      <c r="T15" s="74">
        <f t="shared" si="11"/>
        <v>821.15419999999995</v>
      </c>
      <c r="U15" s="74">
        <f t="shared" si="12"/>
        <v>7159.57</v>
      </c>
      <c r="V15" s="74">
        <f t="shared" si="13"/>
        <v>821.15419999999995</v>
      </c>
      <c r="W15" s="74">
        <f t="shared" si="14"/>
        <v>821.15419999999995</v>
      </c>
      <c r="X15" s="74">
        <f t="shared" si="15"/>
        <v>2386.5233333333331</v>
      </c>
      <c r="Y15" s="74">
        <f t="shared" si="16"/>
        <v>193.6062</v>
      </c>
      <c r="Z15" s="74">
        <f t="shared" si="17"/>
        <v>193.6062</v>
      </c>
      <c r="AA15" s="74">
        <f t="shared" si="18"/>
        <v>1014.7603999999999</v>
      </c>
    </row>
    <row r="16" spans="1:28" ht="17">
      <c r="A16" s="57" t="s">
        <v>117</v>
      </c>
      <c r="B16" s="54" t="str">
        <f>INDEX(PERFIL!$C$2:$C$146,MATCH(CUSTO!A16,PERFIL!$B$2:$B$146,0))</f>
        <v>NS</v>
      </c>
      <c r="C16" s="54">
        <f>INDEX(PAINEL!$B$4:$B$100,MATCH($A16,PAINEL!$A$4:$A$100,0))</f>
        <v>5</v>
      </c>
      <c r="D16" s="55">
        <v>2769.57</v>
      </c>
      <c r="E16" s="55">
        <v>4390</v>
      </c>
      <c r="F16" s="55">
        <f t="shared" si="0"/>
        <v>7159.57</v>
      </c>
      <c r="G16" s="55">
        <f t="shared" si="1"/>
        <v>821.15419999999995</v>
      </c>
      <c r="H16" s="55">
        <v>1175</v>
      </c>
      <c r="I16" s="54" t="s">
        <v>77</v>
      </c>
      <c r="J16" s="55">
        <f t="shared" si="2"/>
        <v>9155.7242000000006</v>
      </c>
      <c r="K16" s="55">
        <f t="shared" si="3"/>
        <v>109868.69040000001</v>
      </c>
      <c r="L16" s="55">
        <f t="shared" si="4"/>
        <v>7159.57</v>
      </c>
      <c r="M16" s="55">
        <f t="shared" si="5"/>
        <v>2386.5233333333331</v>
      </c>
      <c r="N16" s="55">
        <f t="shared" si="6"/>
        <v>1014.7603999999999</v>
      </c>
      <c r="O16" s="55">
        <f t="shared" si="7"/>
        <v>120429.54413333333</v>
      </c>
      <c r="P16" s="55">
        <f t="shared" si="8"/>
        <v>602147.72066666663</v>
      </c>
      <c r="Q16" s="58" t="s">
        <v>350</v>
      </c>
      <c r="R16" s="54">
        <f t="shared" si="9"/>
        <v>7159.57</v>
      </c>
      <c r="S16" s="74">
        <f t="shared" si="10"/>
        <v>821.15419999999995</v>
      </c>
      <c r="T16" s="74">
        <f t="shared" si="11"/>
        <v>821.15419999999995</v>
      </c>
      <c r="U16" s="74">
        <f t="shared" si="12"/>
        <v>7159.57</v>
      </c>
      <c r="V16" s="74">
        <f t="shared" si="13"/>
        <v>821.15419999999995</v>
      </c>
      <c r="W16" s="74">
        <f t="shared" si="14"/>
        <v>821.15419999999995</v>
      </c>
      <c r="X16" s="74">
        <f t="shared" si="15"/>
        <v>2386.5233333333331</v>
      </c>
      <c r="Y16" s="74">
        <f t="shared" si="16"/>
        <v>193.6062</v>
      </c>
      <c r="Z16" s="74">
        <f t="shared" si="17"/>
        <v>193.6062</v>
      </c>
      <c r="AA16" s="74">
        <f t="shared" si="18"/>
        <v>1014.7603999999999</v>
      </c>
    </row>
    <row r="17" spans="1:27" ht="17">
      <c r="A17" s="57" t="s">
        <v>25</v>
      </c>
      <c r="B17" s="54" t="str">
        <f>INDEX(PERFIL!$C$2:$C$146,MATCH(CUSTO!A17,PERFIL!$B$2:$B$146,0))</f>
        <v>NS</v>
      </c>
      <c r="C17" s="54">
        <f>INDEX(PAINEL!$B$4:$B$100,MATCH($A17,PAINEL!$A$4:$A$100,0))</f>
        <v>1</v>
      </c>
      <c r="D17" s="55">
        <v>3755.5</v>
      </c>
      <c r="E17" s="55">
        <f t="shared" ref="E17:E20" si="19">66.41*100</f>
        <v>6641</v>
      </c>
      <c r="F17" s="55">
        <f t="shared" si="0"/>
        <v>10396.5</v>
      </c>
      <c r="G17" s="55">
        <f t="shared" si="1"/>
        <v>1287.37815</v>
      </c>
      <c r="H17" s="55">
        <v>1175</v>
      </c>
      <c r="I17" s="54" t="s">
        <v>77</v>
      </c>
      <c r="J17" s="55">
        <f>SUM(F17:I17)</f>
        <v>12858.87815</v>
      </c>
      <c r="K17" s="55">
        <f t="shared" si="3"/>
        <v>154306.53779999999</v>
      </c>
      <c r="L17" s="55">
        <f t="shared" si="4"/>
        <v>10396.5</v>
      </c>
      <c r="M17" s="55">
        <f t="shared" si="5"/>
        <v>3465.5</v>
      </c>
      <c r="N17" s="55">
        <f t="shared" si="6"/>
        <v>1602.0553500000001</v>
      </c>
      <c r="O17" s="55">
        <f t="shared" si="7"/>
        <v>169770.59315</v>
      </c>
      <c r="P17" s="55">
        <f t="shared" si="8"/>
        <v>169770.59315</v>
      </c>
      <c r="Q17" s="58" t="s">
        <v>350</v>
      </c>
      <c r="R17" s="54">
        <f t="shared" si="9"/>
        <v>10396.5</v>
      </c>
      <c r="S17" s="74">
        <f t="shared" si="10"/>
        <v>1287.37815</v>
      </c>
      <c r="T17" s="74">
        <f t="shared" si="11"/>
        <v>1287.37815</v>
      </c>
      <c r="U17" s="74">
        <f t="shared" si="12"/>
        <v>10396.5</v>
      </c>
      <c r="V17" s="74">
        <f t="shared" si="13"/>
        <v>1287.37815</v>
      </c>
      <c r="W17" s="74">
        <f t="shared" si="14"/>
        <v>1287.37815</v>
      </c>
      <c r="X17" s="74">
        <f t="shared" si="15"/>
        <v>3465.5</v>
      </c>
      <c r="Y17" s="74">
        <f t="shared" si="16"/>
        <v>314.67719999999997</v>
      </c>
      <c r="Z17" s="74">
        <f t="shared" si="17"/>
        <v>314.67719999999997</v>
      </c>
      <c r="AA17" s="74">
        <f t="shared" si="18"/>
        <v>1602.0553500000001</v>
      </c>
    </row>
    <row r="18" spans="1:27" ht="17">
      <c r="A18" s="57" t="s">
        <v>116</v>
      </c>
      <c r="B18" s="54" t="str">
        <f>INDEX(PERFIL!$C$2:$C$146,MATCH(CUSTO!A18,PERFIL!$B$2:$B$146,0))</f>
        <v>NS</v>
      </c>
      <c r="C18" s="54">
        <f>INDEX(PAINEL!$B$4:$B$100,MATCH($A18,PAINEL!$A$4:$A$100,0))</f>
        <v>1</v>
      </c>
      <c r="D18" s="55">
        <v>3755.5</v>
      </c>
      <c r="E18" s="55">
        <f t="shared" si="19"/>
        <v>6641</v>
      </c>
      <c r="F18" s="55">
        <f t="shared" si="0"/>
        <v>10396.5</v>
      </c>
      <c r="G18" s="55">
        <f t="shared" si="1"/>
        <v>1287.37815</v>
      </c>
      <c r="H18" s="55">
        <v>1175</v>
      </c>
      <c r="I18" s="54" t="s">
        <v>77</v>
      </c>
      <c r="J18" s="55">
        <f t="shared" si="2"/>
        <v>12858.87815</v>
      </c>
      <c r="K18" s="55">
        <f t="shared" si="3"/>
        <v>154306.53779999999</v>
      </c>
      <c r="L18" s="55">
        <f t="shared" si="4"/>
        <v>10396.5</v>
      </c>
      <c r="M18" s="55">
        <f t="shared" si="5"/>
        <v>3465.5</v>
      </c>
      <c r="N18" s="55">
        <f t="shared" si="6"/>
        <v>1602.0553500000001</v>
      </c>
      <c r="O18" s="55">
        <f t="shared" si="7"/>
        <v>169770.59315</v>
      </c>
      <c r="P18" s="55">
        <f t="shared" si="8"/>
        <v>169770.59315</v>
      </c>
      <c r="Q18" s="58" t="s">
        <v>350</v>
      </c>
      <c r="R18" s="54">
        <f t="shared" si="9"/>
        <v>10396.5</v>
      </c>
      <c r="S18" s="74">
        <f t="shared" si="10"/>
        <v>1287.37815</v>
      </c>
      <c r="T18" s="74">
        <f t="shared" si="11"/>
        <v>1287.37815</v>
      </c>
      <c r="U18" s="74">
        <f t="shared" si="12"/>
        <v>10396.5</v>
      </c>
      <c r="V18" s="74">
        <f t="shared" si="13"/>
        <v>1287.37815</v>
      </c>
      <c r="W18" s="74">
        <f t="shared" si="14"/>
        <v>1287.37815</v>
      </c>
      <c r="X18" s="74">
        <f t="shared" si="15"/>
        <v>3465.5</v>
      </c>
      <c r="Y18" s="74">
        <f t="shared" si="16"/>
        <v>314.67719999999997</v>
      </c>
      <c r="Z18" s="74">
        <f t="shared" si="17"/>
        <v>314.67719999999997</v>
      </c>
      <c r="AA18" s="74">
        <f t="shared" si="18"/>
        <v>1602.0553500000001</v>
      </c>
    </row>
    <row r="19" spans="1:27" ht="17">
      <c r="A19" s="57" t="s">
        <v>26</v>
      </c>
      <c r="B19" s="54" t="str">
        <f>INDEX(PERFIL!$C$2:$C$146,MATCH(CUSTO!A19,PERFIL!$B$2:$B$146,0))</f>
        <v>NS</v>
      </c>
      <c r="C19" s="54">
        <f>INDEX(PAINEL!$B$4:$B$100,MATCH($A19,PAINEL!$A$4:$A$100,0))</f>
        <v>1</v>
      </c>
      <c r="D19" s="55">
        <v>3755.5</v>
      </c>
      <c r="E19" s="55">
        <f t="shared" si="19"/>
        <v>6641</v>
      </c>
      <c r="F19" s="55">
        <f t="shared" si="0"/>
        <v>10396.5</v>
      </c>
      <c r="G19" s="55">
        <f t="shared" si="1"/>
        <v>1287.37815</v>
      </c>
      <c r="H19" s="55">
        <v>1175</v>
      </c>
      <c r="I19" s="54" t="s">
        <v>77</v>
      </c>
      <c r="J19" s="55">
        <f t="shared" si="2"/>
        <v>12858.87815</v>
      </c>
      <c r="K19" s="55">
        <f t="shared" si="3"/>
        <v>154306.53779999999</v>
      </c>
      <c r="L19" s="55">
        <f t="shared" si="4"/>
        <v>10396.5</v>
      </c>
      <c r="M19" s="55">
        <f t="shared" si="5"/>
        <v>3465.5</v>
      </c>
      <c r="N19" s="55">
        <f t="shared" si="6"/>
        <v>1602.0553500000001</v>
      </c>
      <c r="O19" s="55">
        <f t="shared" si="7"/>
        <v>169770.59315</v>
      </c>
      <c r="P19" s="55">
        <f t="shared" si="8"/>
        <v>169770.59315</v>
      </c>
      <c r="Q19" s="58" t="s">
        <v>350</v>
      </c>
      <c r="R19" s="54">
        <f t="shared" si="9"/>
        <v>10396.5</v>
      </c>
      <c r="S19" s="74">
        <f t="shared" si="10"/>
        <v>1287.37815</v>
      </c>
      <c r="T19" s="74">
        <f t="shared" si="11"/>
        <v>1287.37815</v>
      </c>
      <c r="U19" s="74">
        <f t="shared" si="12"/>
        <v>10396.5</v>
      </c>
      <c r="V19" s="74">
        <f t="shared" si="13"/>
        <v>1287.37815</v>
      </c>
      <c r="W19" s="74">
        <f t="shared" si="14"/>
        <v>1287.37815</v>
      </c>
      <c r="X19" s="74">
        <f t="shared" si="15"/>
        <v>3465.5</v>
      </c>
      <c r="Y19" s="74">
        <f t="shared" si="16"/>
        <v>314.67719999999997</v>
      </c>
      <c r="Z19" s="74">
        <f t="shared" si="17"/>
        <v>314.67719999999997</v>
      </c>
      <c r="AA19" s="74">
        <f t="shared" si="18"/>
        <v>1602.0553500000001</v>
      </c>
    </row>
    <row r="20" spans="1:27" ht="17">
      <c r="A20" s="57" t="s">
        <v>109</v>
      </c>
      <c r="B20" s="54" t="str">
        <f>INDEX(PERFIL!$C$2:$C$146,MATCH(CUSTO!A20,PERFIL!$B$2:$B$146,0))</f>
        <v>NS</v>
      </c>
      <c r="C20" s="54">
        <f>INDEX(PAINEL!$B$4:$B$100,MATCH($A20,PAINEL!$A$4:$A$100,0))</f>
        <v>3</v>
      </c>
      <c r="D20" s="55">
        <v>3755.5</v>
      </c>
      <c r="E20" s="55">
        <f t="shared" si="19"/>
        <v>6641</v>
      </c>
      <c r="F20" s="55">
        <f t="shared" si="0"/>
        <v>10396.5</v>
      </c>
      <c r="G20" s="55">
        <f t="shared" si="1"/>
        <v>1287.37815</v>
      </c>
      <c r="H20" s="55">
        <v>1175</v>
      </c>
      <c r="I20" s="54" t="s">
        <v>77</v>
      </c>
      <c r="J20" s="55">
        <f t="shared" si="2"/>
        <v>12858.87815</v>
      </c>
      <c r="K20" s="55">
        <f t="shared" si="3"/>
        <v>154306.53779999999</v>
      </c>
      <c r="L20" s="55">
        <f t="shared" si="4"/>
        <v>10396.5</v>
      </c>
      <c r="M20" s="55">
        <f t="shared" si="5"/>
        <v>3465.5</v>
      </c>
      <c r="N20" s="55">
        <f t="shared" si="6"/>
        <v>1602.0553500000001</v>
      </c>
      <c r="O20" s="55">
        <f t="shared" si="7"/>
        <v>169770.59315</v>
      </c>
      <c r="P20" s="55">
        <f t="shared" si="8"/>
        <v>509311.77945000003</v>
      </c>
      <c r="Q20" s="58" t="s">
        <v>350</v>
      </c>
      <c r="R20" s="54">
        <f t="shared" si="9"/>
        <v>10396.5</v>
      </c>
      <c r="S20" s="74">
        <f t="shared" si="10"/>
        <v>1287.37815</v>
      </c>
      <c r="T20" s="74">
        <f t="shared" si="11"/>
        <v>1287.37815</v>
      </c>
      <c r="U20" s="74">
        <f t="shared" si="12"/>
        <v>10396.5</v>
      </c>
      <c r="V20" s="74">
        <f t="shared" si="13"/>
        <v>1287.37815</v>
      </c>
      <c r="W20" s="74">
        <f t="shared" si="14"/>
        <v>1287.37815</v>
      </c>
      <c r="X20" s="74">
        <f t="shared" si="15"/>
        <v>3465.5</v>
      </c>
      <c r="Y20" s="74">
        <f t="shared" si="16"/>
        <v>314.67719999999997</v>
      </c>
      <c r="Z20" s="74">
        <f t="shared" si="17"/>
        <v>314.67719999999997</v>
      </c>
      <c r="AA20" s="74">
        <f t="shared" si="18"/>
        <v>1602.0553500000001</v>
      </c>
    </row>
    <row r="21" spans="1:27" ht="17">
      <c r="A21" s="57" t="s">
        <v>121</v>
      </c>
      <c r="B21" s="54" t="str">
        <f>INDEX(PERFIL!$C$2:$C$146,MATCH(CUSTO!A21,PERFIL!$B$2:$B$146,0))</f>
        <v>NS</v>
      </c>
      <c r="C21" s="54">
        <f>INDEX(PAINEL!$B$4:$B$100,MATCH($A21,PAINEL!$A$4:$A$100,0))</f>
        <v>2</v>
      </c>
      <c r="D21" s="55">
        <v>2769.57</v>
      </c>
      <c r="E21" s="55">
        <v>4390</v>
      </c>
      <c r="F21" s="55">
        <f t="shared" si="0"/>
        <v>7159.57</v>
      </c>
      <c r="G21" s="55">
        <f t="shared" si="1"/>
        <v>821.15419999999995</v>
      </c>
      <c r="H21" s="55">
        <v>1175</v>
      </c>
      <c r="I21" s="54" t="s">
        <v>77</v>
      </c>
      <c r="J21" s="55">
        <f t="shared" si="2"/>
        <v>9155.7242000000006</v>
      </c>
      <c r="K21" s="55">
        <f t="shared" si="3"/>
        <v>109868.69040000001</v>
      </c>
      <c r="L21" s="55">
        <f t="shared" si="4"/>
        <v>7159.57</v>
      </c>
      <c r="M21" s="55">
        <f t="shared" si="5"/>
        <v>2386.5233333333331</v>
      </c>
      <c r="N21" s="55">
        <f t="shared" si="6"/>
        <v>1014.7603999999999</v>
      </c>
      <c r="O21" s="55">
        <f t="shared" si="7"/>
        <v>120429.54413333333</v>
      </c>
      <c r="P21" s="55">
        <f t="shared" si="8"/>
        <v>240859.08826666666</v>
      </c>
      <c r="Q21" s="58" t="s">
        <v>350</v>
      </c>
      <c r="R21" s="54">
        <f t="shared" si="9"/>
        <v>7159.57</v>
      </c>
      <c r="S21" s="74">
        <f t="shared" si="10"/>
        <v>821.15419999999995</v>
      </c>
      <c r="T21" s="74">
        <f t="shared" si="11"/>
        <v>821.15419999999995</v>
      </c>
      <c r="U21" s="74">
        <f t="shared" si="12"/>
        <v>7159.57</v>
      </c>
      <c r="V21" s="74">
        <f t="shared" si="13"/>
        <v>821.15419999999995</v>
      </c>
      <c r="W21" s="74">
        <f t="shared" si="14"/>
        <v>821.15419999999995</v>
      </c>
      <c r="X21" s="74">
        <f t="shared" si="15"/>
        <v>2386.5233333333331</v>
      </c>
      <c r="Y21" s="74">
        <f t="shared" si="16"/>
        <v>193.6062</v>
      </c>
      <c r="Z21" s="74">
        <f t="shared" si="17"/>
        <v>193.6062</v>
      </c>
      <c r="AA21" s="74">
        <f t="shared" si="18"/>
        <v>1014.7603999999999</v>
      </c>
    </row>
    <row r="22" spans="1:27" ht="17">
      <c r="A22" s="57" t="s">
        <v>118</v>
      </c>
      <c r="B22" s="54" t="str">
        <f>INDEX(PERFIL!$C$2:$C$146,MATCH(CUSTO!A22,PERFIL!$B$2:$B$146,0))</f>
        <v>NS</v>
      </c>
      <c r="C22" s="54">
        <f>INDEX(PAINEL!$B$4:$B$100,MATCH($A22,PAINEL!$A$4:$A$100,0))</f>
        <v>3</v>
      </c>
      <c r="D22" s="55">
        <v>2769.57</v>
      </c>
      <c r="E22" s="55">
        <v>4390</v>
      </c>
      <c r="F22" s="55">
        <f t="shared" si="0"/>
        <v>7159.57</v>
      </c>
      <c r="G22" s="55">
        <f t="shared" si="1"/>
        <v>821.15419999999995</v>
      </c>
      <c r="H22" s="55">
        <v>1175</v>
      </c>
      <c r="I22" s="54" t="s">
        <v>77</v>
      </c>
      <c r="J22" s="55">
        <f t="shared" si="2"/>
        <v>9155.7242000000006</v>
      </c>
      <c r="K22" s="55">
        <f t="shared" si="3"/>
        <v>109868.69040000001</v>
      </c>
      <c r="L22" s="55">
        <f t="shared" si="4"/>
        <v>7159.57</v>
      </c>
      <c r="M22" s="55">
        <f t="shared" si="5"/>
        <v>2386.5233333333331</v>
      </c>
      <c r="N22" s="55">
        <f t="shared" si="6"/>
        <v>1014.7603999999999</v>
      </c>
      <c r="O22" s="55">
        <f t="shared" si="7"/>
        <v>120429.54413333333</v>
      </c>
      <c r="P22" s="55">
        <f t="shared" si="8"/>
        <v>361288.6324</v>
      </c>
      <c r="Q22" s="58" t="s">
        <v>350</v>
      </c>
      <c r="R22" s="54">
        <f t="shared" si="9"/>
        <v>7159.57</v>
      </c>
      <c r="S22" s="74">
        <f t="shared" si="10"/>
        <v>821.15419999999995</v>
      </c>
      <c r="T22" s="74">
        <f t="shared" si="11"/>
        <v>821.15419999999995</v>
      </c>
      <c r="U22" s="74">
        <f t="shared" si="12"/>
        <v>7159.57</v>
      </c>
      <c r="V22" s="74">
        <f t="shared" si="13"/>
        <v>821.15419999999995</v>
      </c>
      <c r="W22" s="74">
        <f t="shared" si="14"/>
        <v>821.15419999999995</v>
      </c>
      <c r="X22" s="74">
        <f t="shared" si="15"/>
        <v>2386.5233333333331</v>
      </c>
      <c r="Y22" s="74">
        <f t="shared" si="16"/>
        <v>193.6062</v>
      </c>
      <c r="Z22" s="74">
        <f t="shared" si="17"/>
        <v>193.6062</v>
      </c>
      <c r="AA22" s="74">
        <f t="shared" si="18"/>
        <v>1014.7603999999999</v>
      </c>
    </row>
    <row r="23" spans="1:27" ht="17">
      <c r="A23" s="57" t="s">
        <v>119</v>
      </c>
      <c r="B23" s="54" t="str">
        <f>INDEX(PERFIL!$C$2:$C$146,MATCH(CUSTO!A23,PERFIL!$B$2:$B$146,0))</f>
        <v>NS</v>
      </c>
      <c r="C23" s="54">
        <f>INDEX(PAINEL!$B$4:$B$100,MATCH($A23,PAINEL!$A$4:$A$100,0))</f>
        <v>2</v>
      </c>
      <c r="D23" s="55">
        <v>2769.57</v>
      </c>
      <c r="E23" s="55">
        <v>4390</v>
      </c>
      <c r="F23" s="55">
        <f t="shared" si="0"/>
        <v>7159.57</v>
      </c>
      <c r="G23" s="55">
        <f t="shared" si="1"/>
        <v>821.15419999999995</v>
      </c>
      <c r="H23" s="55">
        <v>1175</v>
      </c>
      <c r="I23" s="54" t="s">
        <v>77</v>
      </c>
      <c r="J23" s="55">
        <f t="shared" si="2"/>
        <v>9155.7242000000006</v>
      </c>
      <c r="K23" s="55">
        <f t="shared" si="3"/>
        <v>109868.69040000001</v>
      </c>
      <c r="L23" s="55">
        <f t="shared" si="4"/>
        <v>7159.57</v>
      </c>
      <c r="M23" s="55">
        <f t="shared" si="5"/>
        <v>2386.5233333333331</v>
      </c>
      <c r="N23" s="55">
        <f t="shared" si="6"/>
        <v>1014.7603999999999</v>
      </c>
      <c r="O23" s="55">
        <f t="shared" si="7"/>
        <v>120429.54413333333</v>
      </c>
      <c r="P23" s="55">
        <f t="shared" si="8"/>
        <v>240859.08826666666</v>
      </c>
      <c r="Q23" s="58" t="s">
        <v>350</v>
      </c>
      <c r="R23" s="54">
        <f t="shared" si="9"/>
        <v>7159.57</v>
      </c>
      <c r="S23" s="74">
        <f t="shared" si="10"/>
        <v>821.15419999999995</v>
      </c>
      <c r="T23" s="74">
        <f t="shared" si="11"/>
        <v>821.15419999999995</v>
      </c>
      <c r="U23" s="74">
        <f t="shared" si="12"/>
        <v>7159.57</v>
      </c>
      <c r="V23" s="74">
        <f t="shared" si="13"/>
        <v>821.15419999999995</v>
      </c>
      <c r="W23" s="74">
        <f t="shared" si="14"/>
        <v>821.15419999999995</v>
      </c>
      <c r="X23" s="74">
        <f t="shared" si="15"/>
        <v>2386.5233333333331</v>
      </c>
      <c r="Y23" s="74">
        <f t="shared" si="16"/>
        <v>193.6062</v>
      </c>
      <c r="Z23" s="74">
        <f t="shared" si="17"/>
        <v>193.6062</v>
      </c>
      <c r="AA23" s="74">
        <f t="shared" si="18"/>
        <v>1014.7603999999999</v>
      </c>
    </row>
    <row r="24" spans="1:27" ht="17">
      <c r="A24" s="57" t="s">
        <v>361</v>
      </c>
      <c r="B24" s="54" t="str">
        <f>INDEX(PERFIL!$C$2:$C$146,MATCH(CUSTO!A24,PERFIL!$B$2:$B$146,0))</f>
        <v>NS</v>
      </c>
      <c r="C24" s="54">
        <f>INDEX(PAINEL!$B$4:$B$100,MATCH($A24,PAINEL!$A$4:$A$100,0))</f>
        <v>9</v>
      </c>
      <c r="D24" s="55">
        <v>2769.57</v>
      </c>
      <c r="E24" s="55">
        <v>2844</v>
      </c>
      <c r="F24" s="55">
        <f t="shared" si="0"/>
        <v>5613.57</v>
      </c>
      <c r="G24" s="55">
        <f t="shared" si="1"/>
        <v>604.71420000000001</v>
      </c>
      <c r="H24" s="55">
        <v>1175</v>
      </c>
      <c r="I24" s="54" t="s">
        <v>77</v>
      </c>
      <c r="J24" s="55">
        <f t="shared" si="2"/>
        <v>7393.2842000000001</v>
      </c>
      <c r="K24" s="55">
        <f t="shared" si="3"/>
        <v>88719.410399999993</v>
      </c>
      <c r="L24" s="55">
        <f t="shared" si="4"/>
        <v>5613.57</v>
      </c>
      <c r="M24" s="55">
        <f t="shared" si="5"/>
        <v>1871.1899999999998</v>
      </c>
      <c r="N24" s="55">
        <f t="shared" si="6"/>
        <v>751.94039999999995</v>
      </c>
      <c r="O24" s="55">
        <f t="shared" si="7"/>
        <v>96956.110800000009</v>
      </c>
      <c r="P24" s="55">
        <f t="shared" si="8"/>
        <v>872604.9972000001</v>
      </c>
      <c r="Q24" s="58" t="s">
        <v>350</v>
      </c>
      <c r="R24" s="54">
        <f t="shared" si="9"/>
        <v>5613.57</v>
      </c>
      <c r="S24" s="74">
        <f t="shared" si="10"/>
        <v>604.71420000000001</v>
      </c>
      <c r="T24" s="74">
        <f t="shared" si="11"/>
        <v>604.71420000000001</v>
      </c>
      <c r="U24" s="74">
        <f t="shared" si="12"/>
        <v>5613.57</v>
      </c>
      <c r="V24" s="74">
        <f t="shared" si="13"/>
        <v>604.71420000000001</v>
      </c>
      <c r="W24" s="74">
        <f t="shared" si="14"/>
        <v>604.71420000000001</v>
      </c>
      <c r="X24" s="74">
        <f t="shared" si="15"/>
        <v>1871.1899999999998</v>
      </c>
      <c r="Y24" s="74">
        <f t="shared" si="16"/>
        <v>147.22620000000001</v>
      </c>
      <c r="Z24" s="74">
        <f t="shared" si="17"/>
        <v>147.22620000000001</v>
      </c>
      <c r="AA24" s="74">
        <f t="shared" si="18"/>
        <v>751.94039999999995</v>
      </c>
    </row>
    <row r="25" spans="1:27" ht="17">
      <c r="A25" s="57" t="s">
        <v>120</v>
      </c>
      <c r="B25" s="54" t="str">
        <f>INDEX(PERFIL!$C$2:$C$146,MATCH(CUSTO!A25,PERFIL!$B$2:$B$146,0))</f>
        <v>NS</v>
      </c>
      <c r="C25" s="54">
        <f>INDEX(PAINEL!$B$4:$B$100,MATCH($A25,PAINEL!$A$4:$A$100,0))</f>
        <v>1</v>
      </c>
      <c r="D25" s="55">
        <v>2769.57</v>
      </c>
      <c r="E25" s="55">
        <v>4390</v>
      </c>
      <c r="F25" s="55">
        <f t="shared" si="0"/>
        <v>7159.57</v>
      </c>
      <c r="G25" s="55">
        <f t="shared" si="1"/>
        <v>821.15419999999995</v>
      </c>
      <c r="H25" s="55">
        <v>1175</v>
      </c>
      <c r="I25" s="54" t="s">
        <v>77</v>
      </c>
      <c r="J25" s="55">
        <f t="shared" si="2"/>
        <v>9155.7242000000006</v>
      </c>
      <c r="K25" s="55">
        <f t="shared" si="3"/>
        <v>109868.69040000001</v>
      </c>
      <c r="L25" s="55">
        <f t="shared" si="4"/>
        <v>7159.57</v>
      </c>
      <c r="M25" s="55">
        <f t="shared" si="5"/>
        <v>2386.5233333333331</v>
      </c>
      <c r="N25" s="55">
        <f t="shared" si="6"/>
        <v>1014.7603999999999</v>
      </c>
      <c r="O25" s="55">
        <f t="shared" si="7"/>
        <v>120429.54413333333</v>
      </c>
      <c r="P25" s="55">
        <f t="shared" si="8"/>
        <v>120429.54413333333</v>
      </c>
      <c r="Q25" s="58" t="s">
        <v>350</v>
      </c>
      <c r="R25" s="54">
        <f t="shared" si="9"/>
        <v>7159.57</v>
      </c>
      <c r="S25" s="74">
        <f t="shared" si="10"/>
        <v>821.15419999999995</v>
      </c>
      <c r="T25" s="74">
        <f t="shared" si="11"/>
        <v>821.15419999999995</v>
      </c>
      <c r="U25" s="74">
        <f t="shared" si="12"/>
        <v>7159.57</v>
      </c>
      <c r="V25" s="74">
        <f t="shared" si="13"/>
        <v>821.15419999999995</v>
      </c>
      <c r="W25" s="74">
        <f t="shared" si="14"/>
        <v>821.15419999999995</v>
      </c>
      <c r="X25" s="74">
        <f t="shared" si="15"/>
        <v>2386.5233333333331</v>
      </c>
      <c r="Y25" s="74">
        <f t="shared" si="16"/>
        <v>193.6062</v>
      </c>
      <c r="Z25" s="74">
        <f t="shared" si="17"/>
        <v>193.6062</v>
      </c>
      <c r="AA25" s="74">
        <f t="shared" si="18"/>
        <v>1014.7603999999999</v>
      </c>
    </row>
    <row r="26" spans="1:27" ht="17">
      <c r="A26" s="57" t="s">
        <v>12</v>
      </c>
      <c r="B26" s="54" t="str">
        <f>INDEX(PERFIL!$C$2:$C$146,MATCH(CUSTO!A26,PERFIL!$B$2:$B$146,0))</f>
        <v>NS</v>
      </c>
      <c r="C26" s="54">
        <f>INDEX(PAINEL!$B$4:$B$100,MATCH($A26,PAINEL!$A$4:$A$100,0))</f>
        <v>4</v>
      </c>
      <c r="D26" s="55">
        <v>2769.57</v>
      </c>
      <c r="E26" s="55">
        <v>4390</v>
      </c>
      <c r="F26" s="55">
        <f t="shared" si="0"/>
        <v>7159.57</v>
      </c>
      <c r="G26" s="55">
        <f t="shared" si="1"/>
        <v>821.15419999999995</v>
      </c>
      <c r="H26" s="55">
        <v>1175</v>
      </c>
      <c r="I26" s="54" t="s">
        <v>77</v>
      </c>
      <c r="J26" s="55">
        <f t="shared" si="2"/>
        <v>9155.7242000000006</v>
      </c>
      <c r="K26" s="55">
        <f t="shared" si="3"/>
        <v>109868.69040000001</v>
      </c>
      <c r="L26" s="55">
        <f t="shared" si="4"/>
        <v>7159.57</v>
      </c>
      <c r="M26" s="55">
        <f t="shared" si="5"/>
        <v>2386.5233333333331</v>
      </c>
      <c r="N26" s="55">
        <f t="shared" si="6"/>
        <v>1014.7603999999999</v>
      </c>
      <c r="O26" s="55">
        <f t="shared" si="7"/>
        <v>120429.54413333333</v>
      </c>
      <c r="P26" s="55">
        <f t="shared" si="8"/>
        <v>481718.17653333332</v>
      </c>
      <c r="Q26" s="58" t="s">
        <v>350</v>
      </c>
      <c r="R26" s="54">
        <f t="shared" si="9"/>
        <v>7159.57</v>
      </c>
      <c r="S26" s="74">
        <f t="shared" si="10"/>
        <v>821.15419999999995</v>
      </c>
      <c r="T26" s="74">
        <f t="shared" si="11"/>
        <v>821.15419999999995</v>
      </c>
      <c r="U26" s="74">
        <f t="shared" si="12"/>
        <v>7159.57</v>
      </c>
      <c r="V26" s="74">
        <f t="shared" si="13"/>
        <v>821.15419999999995</v>
      </c>
      <c r="W26" s="74">
        <f t="shared" si="14"/>
        <v>821.15419999999995</v>
      </c>
      <c r="X26" s="74">
        <f t="shared" si="15"/>
        <v>2386.5233333333331</v>
      </c>
      <c r="Y26" s="74">
        <f t="shared" si="16"/>
        <v>193.6062</v>
      </c>
      <c r="Z26" s="74">
        <f t="shared" si="17"/>
        <v>193.6062</v>
      </c>
      <c r="AA26" s="74">
        <f t="shared" si="18"/>
        <v>1014.7603999999999</v>
      </c>
    </row>
    <row r="27" spans="1:27" ht="17">
      <c r="A27" s="57" t="s">
        <v>23</v>
      </c>
      <c r="B27" s="54" t="str">
        <f>INDEX(PERFIL!$C$2:$C$146,MATCH(CUSTO!A27,PERFIL!$B$2:$B$146,0))</f>
        <v>NS</v>
      </c>
      <c r="C27" s="54">
        <f>INDEX(PAINEL!$B$4:$B$100,MATCH($A27,PAINEL!$A$4:$A$100,0))</f>
        <v>4</v>
      </c>
      <c r="D27" s="55">
        <v>2769.57</v>
      </c>
      <c r="E27" s="55">
        <v>4390</v>
      </c>
      <c r="F27" s="55">
        <f t="shared" si="0"/>
        <v>7159.57</v>
      </c>
      <c r="G27" s="55">
        <f t="shared" si="1"/>
        <v>821.15419999999995</v>
      </c>
      <c r="H27" s="55">
        <v>1175</v>
      </c>
      <c r="I27" s="54" t="s">
        <v>77</v>
      </c>
      <c r="J27" s="55">
        <f t="shared" si="2"/>
        <v>9155.7242000000006</v>
      </c>
      <c r="K27" s="55">
        <f t="shared" si="3"/>
        <v>109868.69040000001</v>
      </c>
      <c r="L27" s="55">
        <f t="shared" si="4"/>
        <v>7159.57</v>
      </c>
      <c r="M27" s="55">
        <f t="shared" si="5"/>
        <v>2386.5233333333331</v>
      </c>
      <c r="N27" s="55">
        <f t="shared" si="6"/>
        <v>1014.7603999999999</v>
      </c>
      <c r="O27" s="55">
        <f t="shared" si="7"/>
        <v>120429.54413333333</v>
      </c>
      <c r="P27" s="55">
        <f t="shared" si="8"/>
        <v>481718.17653333332</v>
      </c>
      <c r="Q27" s="58" t="s">
        <v>350</v>
      </c>
      <c r="R27" s="54">
        <f t="shared" si="9"/>
        <v>7159.57</v>
      </c>
      <c r="S27" s="74">
        <f t="shared" si="10"/>
        <v>821.15419999999995</v>
      </c>
      <c r="T27" s="74">
        <f t="shared" si="11"/>
        <v>821.15419999999995</v>
      </c>
      <c r="U27" s="74">
        <f t="shared" si="12"/>
        <v>7159.57</v>
      </c>
      <c r="V27" s="74">
        <f t="shared" si="13"/>
        <v>821.15419999999995</v>
      </c>
      <c r="W27" s="74">
        <f t="shared" si="14"/>
        <v>821.15419999999995</v>
      </c>
      <c r="X27" s="74">
        <f t="shared" si="15"/>
        <v>2386.5233333333331</v>
      </c>
      <c r="Y27" s="74">
        <f t="shared" si="16"/>
        <v>193.6062</v>
      </c>
      <c r="Z27" s="74">
        <f t="shared" si="17"/>
        <v>193.6062</v>
      </c>
      <c r="AA27" s="74">
        <f t="shared" si="18"/>
        <v>1014.7603999999999</v>
      </c>
    </row>
    <row r="28" spans="1:27" ht="17">
      <c r="A28" s="57" t="s">
        <v>175</v>
      </c>
      <c r="B28" s="54" t="str">
        <f>INDEX(PERFIL!$C$2:$C$146,MATCH(CUSTO!A28,PERFIL!$B$2:$B$146,0))</f>
        <v>NS</v>
      </c>
      <c r="C28" s="54">
        <f>INDEX(PAINEL!$B$4:$B$100,MATCH($A28,PAINEL!$A$4:$A$100,0))</f>
        <v>88</v>
      </c>
      <c r="D28" s="55">
        <v>6397.19</v>
      </c>
      <c r="E28" s="55">
        <v>1279.44</v>
      </c>
      <c r="F28" s="55">
        <f t="shared" si="0"/>
        <v>7676.6299999999992</v>
      </c>
      <c r="G28" s="55">
        <f t="shared" si="1"/>
        <v>893.54259999999999</v>
      </c>
      <c r="H28" s="55">
        <v>1175</v>
      </c>
      <c r="I28" s="54" t="s">
        <v>77</v>
      </c>
      <c r="J28" s="55">
        <f t="shared" si="2"/>
        <v>9745.1725999999999</v>
      </c>
      <c r="K28" s="55">
        <f t="shared" si="3"/>
        <v>116942.07120000001</v>
      </c>
      <c r="L28" s="55">
        <f t="shared" si="4"/>
        <v>7676.6299999999992</v>
      </c>
      <c r="M28" s="55">
        <f t="shared" si="5"/>
        <v>2558.8766666666666</v>
      </c>
      <c r="N28" s="55">
        <f t="shared" si="6"/>
        <v>1102.6605999999999</v>
      </c>
      <c r="O28" s="55">
        <f t="shared" si="7"/>
        <v>128280.23846666668</v>
      </c>
      <c r="P28" s="55">
        <f t="shared" si="8"/>
        <v>11288660.985066667</v>
      </c>
      <c r="Q28" s="58" t="s">
        <v>350</v>
      </c>
      <c r="R28" s="54">
        <f t="shared" si="9"/>
        <v>7676.6299999999992</v>
      </c>
      <c r="S28" s="74">
        <f t="shared" si="10"/>
        <v>893.54259999999999</v>
      </c>
      <c r="T28" s="74">
        <f t="shared" si="11"/>
        <v>893.54259999999999</v>
      </c>
      <c r="U28" s="74">
        <f t="shared" si="12"/>
        <v>7676.6299999999992</v>
      </c>
      <c r="V28" s="74">
        <f t="shared" si="13"/>
        <v>893.54259999999999</v>
      </c>
      <c r="W28" s="74">
        <f t="shared" si="14"/>
        <v>893.54259999999999</v>
      </c>
      <c r="X28" s="74">
        <f t="shared" si="15"/>
        <v>2558.8766666666666</v>
      </c>
      <c r="Y28" s="74">
        <f t="shared" si="16"/>
        <v>209.11799999999999</v>
      </c>
      <c r="Z28" s="74">
        <f t="shared" si="17"/>
        <v>209.11799999999999</v>
      </c>
      <c r="AA28" s="74">
        <f t="shared" si="18"/>
        <v>1102.6605999999999</v>
      </c>
    </row>
    <row r="29" spans="1:27" ht="17">
      <c r="A29" s="57" t="s">
        <v>174</v>
      </c>
      <c r="B29" s="54" t="str">
        <f>INDEX(PERFIL!$C$2:$C$146,MATCH(CUSTO!A29,PERFIL!$B$2:$B$146,0))</f>
        <v>NS</v>
      </c>
      <c r="C29" s="54">
        <f>INDEX(PAINEL!$B$4:$B$100,MATCH($A29,PAINEL!$A$4:$A$100,0))</f>
        <v>43</v>
      </c>
      <c r="D29" s="55">
        <v>6397.19</v>
      </c>
      <c r="E29" s="55">
        <v>7356.77</v>
      </c>
      <c r="F29" s="55">
        <f t="shared" si="0"/>
        <v>13753.96</v>
      </c>
      <c r="G29" s="55">
        <f t="shared" si="1"/>
        <v>1782.6175499999999</v>
      </c>
      <c r="H29" s="55">
        <v>1175</v>
      </c>
      <c r="I29" s="54" t="s">
        <v>77</v>
      </c>
      <c r="J29" s="55">
        <f t="shared" si="2"/>
        <v>16711.577549999998</v>
      </c>
      <c r="K29" s="55">
        <f t="shared" si="3"/>
        <v>200538.93059999996</v>
      </c>
      <c r="L29" s="55">
        <f t="shared" si="4"/>
        <v>13753.96</v>
      </c>
      <c r="M29" s="55">
        <f t="shared" si="5"/>
        <v>4584.6533333333327</v>
      </c>
      <c r="N29" s="55">
        <f t="shared" si="6"/>
        <v>2243.2834166666667</v>
      </c>
      <c r="O29" s="55">
        <f t="shared" si="7"/>
        <v>221120.82734999995</v>
      </c>
      <c r="P29" s="55">
        <f t="shared" si="8"/>
        <v>9508195.5760499984</v>
      </c>
      <c r="Q29" s="58" t="s">
        <v>350</v>
      </c>
      <c r="R29" s="54">
        <f t="shared" si="9"/>
        <v>13753.96</v>
      </c>
      <c r="S29" s="74">
        <f t="shared" si="10"/>
        <v>1782.6175499999999</v>
      </c>
      <c r="T29" s="74">
        <f t="shared" si="11"/>
        <v>1782.6175499999999</v>
      </c>
      <c r="U29" s="74">
        <f t="shared" si="12"/>
        <v>13753.96</v>
      </c>
      <c r="V29" s="74">
        <f t="shared" si="13"/>
        <v>1782.6175499999999</v>
      </c>
      <c r="W29" s="74">
        <f t="shared" si="14"/>
        <v>1782.6175499999999</v>
      </c>
      <c r="X29" s="74">
        <f t="shared" si="15"/>
        <v>4584.6533333333327</v>
      </c>
      <c r="Y29" s="74">
        <f t="shared" si="16"/>
        <v>460.6658666666666</v>
      </c>
      <c r="Z29" s="74">
        <f t="shared" si="17"/>
        <v>460.6658666666666</v>
      </c>
      <c r="AA29" s="74">
        <f t="shared" si="18"/>
        <v>2243.2834166666667</v>
      </c>
    </row>
    <row r="30" spans="1:27" ht="17">
      <c r="A30" s="57" t="s">
        <v>106</v>
      </c>
      <c r="B30" s="54" t="str">
        <f>INDEX(PERFIL!$C$2:$C$146,MATCH(CUSTO!A30,PERFIL!$B$2:$B$146,0))</f>
        <v>NS</v>
      </c>
      <c r="C30" s="54">
        <f>INDEX(PAINEL!$B$4:$B$100,MATCH($A30,PAINEL!$A$4:$A$100,0))</f>
        <v>7</v>
      </c>
      <c r="D30" s="55">
        <v>2769.57</v>
      </c>
      <c r="E30" s="55">
        <v>4390</v>
      </c>
      <c r="F30" s="55">
        <f>D30+E30</f>
        <v>7159.57</v>
      </c>
      <c r="G30" s="55">
        <f t="shared" si="1"/>
        <v>821.15419999999995</v>
      </c>
      <c r="H30" s="55">
        <v>1175</v>
      </c>
      <c r="I30" s="54" t="s">
        <v>77</v>
      </c>
      <c r="J30" s="55">
        <f>SUM(F30:I30)</f>
        <v>9155.7242000000006</v>
      </c>
      <c r="K30" s="55">
        <f>J30*12</f>
        <v>109868.69040000001</v>
      </c>
      <c r="L30" s="55">
        <f>F30</f>
        <v>7159.57</v>
      </c>
      <c r="M30" s="55">
        <f>F30/3</f>
        <v>2386.5233333333331</v>
      </c>
      <c r="N30" s="55">
        <f t="shared" si="6"/>
        <v>1014.7603999999999</v>
      </c>
      <c r="O30" s="55">
        <f>SUM(K30:N30)</f>
        <v>120429.54413333333</v>
      </c>
      <c r="P30" s="55">
        <f>C30*O30</f>
        <v>843006.80893333326</v>
      </c>
      <c r="Q30" s="58" t="s">
        <v>350</v>
      </c>
      <c r="R30" s="54">
        <f t="shared" si="9"/>
        <v>7159.57</v>
      </c>
      <c r="S30" s="74">
        <f t="shared" si="10"/>
        <v>821.15419999999995</v>
      </c>
      <c r="T30" s="74">
        <f t="shared" si="11"/>
        <v>821.15419999999995</v>
      </c>
      <c r="U30" s="74">
        <f t="shared" si="12"/>
        <v>7159.57</v>
      </c>
      <c r="V30" s="74">
        <f t="shared" si="13"/>
        <v>821.15419999999995</v>
      </c>
      <c r="W30" s="74">
        <f t="shared" si="14"/>
        <v>821.15419999999995</v>
      </c>
      <c r="X30" s="74">
        <f t="shared" si="15"/>
        <v>2386.5233333333331</v>
      </c>
      <c r="Y30" s="74">
        <f t="shared" si="16"/>
        <v>193.6062</v>
      </c>
      <c r="Z30" s="74">
        <f t="shared" si="17"/>
        <v>193.6062</v>
      </c>
      <c r="AA30" s="74">
        <f t="shared" si="18"/>
        <v>1014.7603999999999</v>
      </c>
    </row>
    <row r="31" spans="1:27" ht="17">
      <c r="A31" s="57" t="s">
        <v>247</v>
      </c>
      <c r="B31" s="54" t="str">
        <f>INDEX(PERFIL!$C$2:$C$146,MATCH(CUSTO!A31,PERFIL!$B$2:$B$146,0))</f>
        <v>NI</v>
      </c>
      <c r="C31" s="54">
        <f>INDEX(PAINEL!$B$4:$B$100,MATCH($A31,PAINEL!$A$4:$A$100,0))</f>
        <v>5</v>
      </c>
      <c r="D31" s="55">
        <v>2182.59</v>
      </c>
      <c r="E31" s="55">
        <v>2605</v>
      </c>
      <c r="F31" s="55">
        <f t="shared" ref="F31:F35" si="20">D31+E31</f>
        <v>4787.59</v>
      </c>
      <c r="G31" s="55">
        <f t="shared" si="1"/>
        <v>489.077</v>
      </c>
      <c r="H31" s="55">
        <v>1175</v>
      </c>
      <c r="I31" s="54" t="s">
        <v>77</v>
      </c>
      <c r="J31" s="55">
        <f t="shared" ref="J31:J35" si="21">SUM(F31:I31)</f>
        <v>6451.6670000000004</v>
      </c>
      <c r="K31" s="55">
        <f t="shared" ref="K31:K35" si="22">J31*12</f>
        <v>77420.004000000001</v>
      </c>
      <c r="L31" s="55">
        <f t="shared" ref="L31:L35" si="23">F31</f>
        <v>4787.59</v>
      </c>
      <c r="M31" s="55">
        <f t="shared" ref="M31:M35" si="24">F31/3</f>
        <v>1595.8633333333335</v>
      </c>
      <c r="N31" s="55">
        <f t="shared" si="6"/>
        <v>611.52380000000005</v>
      </c>
      <c r="O31" s="55">
        <f t="shared" ref="O31:O35" si="25">SUM(K31:N31)</f>
        <v>84414.98113333332</v>
      </c>
      <c r="P31" s="55">
        <f t="shared" ref="P31:P35" si="26">C31*O31</f>
        <v>422074.90566666657</v>
      </c>
      <c r="Q31" s="58" t="s">
        <v>350</v>
      </c>
      <c r="R31" s="54">
        <f t="shared" si="9"/>
        <v>4787.59</v>
      </c>
      <c r="S31" s="74">
        <f t="shared" si="10"/>
        <v>489.077</v>
      </c>
      <c r="T31" s="74">
        <f t="shared" si="11"/>
        <v>489.077</v>
      </c>
      <c r="U31" s="74">
        <f t="shared" si="12"/>
        <v>4787.59</v>
      </c>
      <c r="V31" s="74">
        <f t="shared" si="13"/>
        <v>489.077</v>
      </c>
      <c r="W31" s="74">
        <f t="shared" si="14"/>
        <v>489.077</v>
      </c>
      <c r="X31" s="74">
        <f t="shared" si="15"/>
        <v>1595.8633333333335</v>
      </c>
      <c r="Y31" s="74">
        <f t="shared" si="16"/>
        <v>122.44680000000002</v>
      </c>
      <c r="Z31" s="74">
        <f t="shared" si="17"/>
        <v>122.44680000000002</v>
      </c>
      <c r="AA31" s="74">
        <f t="shared" si="18"/>
        <v>611.52380000000005</v>
      </c>
    </row>
    <row r="32" spans="1:27" ht="17">
      <c r="A32" s="57" t="s">
        <v>122</v>
      </c>
      <c r="B32" s="54" t="str">
        <f>INDEX(PERFIL!$C$2:$C$146,MATCH(CUSTO!A32,PERFIL!$B$2:$B$146,0))</f>
        <v>NI</v>
      </c>
      <c r="C32" s="54">
        <f>INDEX(PAINEL!$B$4:$B$100,MATCH($A32,PAINEL!$A$4:$A$100,0))</f>
        <v>3</v>
      </c>
      <c r="D32" s="55">
        <v>2182.59</v>
      </c>
      <c r="E32" s="55">
        <v>2605</v>
      </c>
      <c r="F32" s="55">
        <f t="shared" si="20"/>
        <v>4787.59</v>
      </c>
      <c r="G32" s="55">
        <f t="shared" si="1"/>
        <v>489.077</v>
      </c>
      <c r="H32" s="55">
        <v>1175</v>
      </c>
      <c r="I32" s="54" t="s">
        <v>77</v>
      </c>
      <c r="J32" s="55">
        <f t="shared" si="21"/>
        <v>6451.6670000000004</v>
      </c>
      <c r="K32" s="55">
        <f t="shared" si="22"/>
        <v>77420.004000000001</v>
      </c>
      <c r="L32" s="55">
        <f t="shared" si="23"/>
        <v>4787.59</v>
      </c>
      <c r="M32" s="55">
        <f t="shared" si="24"/>
        <v>1595.8633333333335</v>
      </c>
      <c r="N32" s="55">
        <f t="shared" si="6"/>
        <v>611.52380000000005</v>
      </c>
      <c r="O32" s="55">
        <f t="shared" si="25"/>
        <v>84414.98113333332</v>
      </c>
      <c r="P32" s="55">
        <f t="shared" si="26"/>
        <v>253244.94339999996</v>
      </c>
      <c r="Q32" s="58" t="s">
        <v>350</v>
      </c>
      <c r="R32" s="54">
        <f t="shared" si="9"/>
        <v>4787.59</v>
      </c>
      <c r="S32" s="74">
        <f t="shared" si="10"/>
        <v>489.077</v>
      </c>
      <c r="T32" s="74">
        <f t="shared" si="11"/>
        <v>489.077</v>
      </c>
      <c r="U32" s="74">
        <f t="shared" si="12"/>
        <v>4787.59</v>
      </c>
      <c r="V32" s="74">
        <f t="shared" si="13"/>
        <v>489.077</v>
      </c>
      <c r="W32" s="74">
        <f t="shared" si="14"/>
        <v>489.077</v>
      </c>
      <c r="X32" s="74">
        <f t="shared" si="15"/>
        <v>1595.8633333333335</v>
      </c>
      <c r="Y32" s="74">
        <f t="shared" si="16"/>
        <v>122.44680000000002</v>
      </c>
      <c r="Z32" s="74">
        <f t="shared" si="17"/>
        <v>122.44680000000002</v>
      </c>
      <c r="AA32" s="74">
        <f t="shared" si="18"/>
        <v>611.52380000000005</v>
      </c>
    </row>
    <row r="33" spans="1:27" ht="17">
      <c r="A33" s="58" t="s">
        <v>105</v>
      </c>
      <c r="B33" s="54" t="str">
        <f>INDEX(PERFIL!$C$2:$C$146,MATCH(CUSTO!A33,PERFIL!$B$2:$B$146,0))</f>
        <v>NS</v>
      </c>
      <c r="C33" s="54">
        <f>INDEX(PAINEL!$B$4:$B$100,MATCH($A33,PAINEL!$A$4:$A$100,0))</f>
        <v>37</v>
      </c>
      <c r="D33" s="55">
        <v>2769.57</v>
      </c>
      <c r="E33" s="55">
        <v>4390</v>
      </c>
      <c r="F33" s="55">
        <f t="shared" si="20"/>
        <v>7159.57</v>
      </c>
      <c r="G33" s="55">
        <f t="shared" si="1"/>
        <v>821.15419999999995</v>
      </c>
      <c r="H33" s="55">
        <v>1175</v>
      </c>
      <c r="I33" s="54" t="s">
        <v>77</v>
      </c>
      <c r="J33" s="55">
        <f t="shared" si="21"/>
        <v>9155.7242000000006</v>
      </c>
      <c r="K33" s="55">
        <f t="shared" si="22"/>
        <v>109868.69040000001</v>
      </c>
      <c r="L33" s="55">
        <f t="shared" si="23"/>
        <v>7159.57</v>
      </c>
      <c r="M33" s="55">
        <f t="shared" si="24"/>
        <v>2386.5233333333331</v>
      </c>
      <c r="N33" s="55">
        <f t="shared" si="6"/>
        <v>1014.7603999999999</v>
      </c>
      <c r="O33" s="55">
        <f t="shared" si="25"/>
        <v>120429.54413333333</v>
      </c>
      <c r="P33" s="55">
        <f t="shared" si="26"/>
        <v>4455893.1329333335</v>
      </c>
      <c r="Q33" s="58" t="s">
        <v>350</v>
      </c>
      <c r="R33" s="54">
        <f t="shared" si="9"/>
        <v>7159.57</v>
      </c>
      <c r="S33" s="74">
        <f t="shared" si="10"/>
        <v>821.15419999999995</v>
      </c>
      <c r="T33" s="74">
        <f t="shared" si="11"/>
        <v>821.15419999999995</v>
      </c>
      <c r="U33" s="74">
        <f t="shared" si="12"/>
        <v>7159.57</v>
      </c>
      <c r="V33" s="74">
        <f t="shared" si="13"/>
        <v>821.15419999999995</v>
      </c>
      <c r="W33" s="74">
        <f t="shared" si="14"/>
        <v>821.15419999999995</v>
      </c>
      <c r="X33" s="74">
        <f t="shared" si="15"/>
        <v>2386.5233333333331</v>
      </c>
      <c r="Y33" s="74">
        <f t="shared" si="16"/>
        <v>193.6062</v>
      </c>
      <c r="Z33" s="74">
        <f t="shared" si="17"/>
        <v>193.6062</v>
      </c>
      <c r="AA33" s="74">
        <f t="shared" si="18"/>
        <v>1014.7603999999999</v>
      </c>
    </row>
    <row r="34" spans="1:27" ht="17">
      <c r="A34" s="58" t="s">
        <v>430</v>
      </c>
      <c r="B34" s="54" t="str">
        <f>INDEX(PERFIL!$C$2:$C$146,MATCH(CUSTO!A34,PERFIL!$B$2:$B$146,0))</f>
        <v>NS</v>
      </c>
      <c r="C34" s="54">
        <f>INDEX(PAINEL!$B$4:$B$100,MATCH($A34,PAINEL!$A$4:$A$100,0))</f>
        <v>3</v>
      </c>
      <c r="D34" s="55">
        <v>2769.57</v>
      </c>
      <c r="E34" s="55">
        <v>4390</v>
      </c>
      <c r="F34" s="55">
        <f t="shared" si="20"/>
        <v>7159.57</v>
      </c>
      <c r="G34" s="55">
        <f t="shared" si="1"/>
        <v>821.15419999999995</v>
      </c>
      <c r="H34" s="55">
        <v>1175</v>
      </c>
      <c r="I34" s="54" t="s">
        <v>77</v>
      </c>
      <c r="J34" s="55">
        <f t="shared" si="21"/>
        <v>9155.7242000000006</v>
      </c>
      <c r="K34" s="55">
        <f t="shared" si="22"/>
        <v>109868.69040000001</v>
      </c>
      <c r="L34" s="55">
        <f t="shared" si="23"/>
        <v>7159.57</v>
      </c>
      <c r="M34" s="55">
        <f t="shared" si="24"/>
        <v>2386.5233333333331</v>
      </c>
      <c r="N34" s="55">
        <f t="shared" si="6"/>
        <v>1014.7603999999999</v>
      </c>
      <c r="O34" s="55">
        <f t="shared" si="25"/>
        <v>120429.54413333333</v>
      </c>
      <c r="P34" s="55">
        <f t="shared" si="26"/>
        <v>361288.6324</v>
      </c>
      <c r="Q34" s="58" t="s">
        <v>350</v>
      </c>
      <c r="R34" s="54">
        <f t="shared" si="9"/>
        <v>7159.57</v>
      </c>
      <c r="S34" s="74">
        <f t="shared" si="10"/>
        <v>821.15419999999995</v>
      </c>
      <c r="T34" s="74">
        <f t="shared" si="11"/>
        <v>821.15419999999995</v>
      </c>
      <c r="U34" s="74">
        <f t="shared" si="12"/>
        <v>7159.57</v>
      </c>
      <c r="V34" s="74">
        <f t="shared" si="13"/>
        <v>821.15419999999995</v>
      </c>
      <c r="W34" s="74">
        <f t="shared" si="14"/>
        <v>821.15419999999995</v>
      </c>
      <c r="X34" s="74">
        <f t="shared" si="15"/>
        <v>2386.5233333333331</v>
      </c>
      <c r="Y34" s="74">
        <f t="shared" si="16"/>
        <v>193.6062</v>
      </c>
      <c r="Z34" s="74">
        <f t="shared" si="17"/>
        <v>193.6062</v>
      </c>
      <c r="AA34" s="74">
        <f t="shared" si="18"/>
        <v>1014.7603999999999</v>
      </c>
    </row>
    <row r="35" spans="1:27" ht="17">
      <c r="A35" s="58" t="s">
        <v>123</v>
      </c>
      <c r="B35" s="54" t="str">
        <f>INDEX(PERFIL!$C$2:$C$146,MATCH(CUSTO!A35,PERFIL!$B$2:$B$146,0))</f>
        <v>NI</v>
      </c>
      <c r="C35" s="54">
        <f>INDEX(PAINEL!$B$4:$B$100,MATCH($A35,PAINEL!$A$4:$A$100,0))</f>
        <v>5</v>
      </c>
      <c r="D35" s="55">
        <v>2182.59</v>
      </c>
      <c r="E35" s="55">
        <v>2605</v>
      </c>
      <c r="F35" s="55">
        <f t="shared" si="20"/>
        <v>4787.59</v>
      </c>
      <c r="G35" s="55">
        <f t="shared" si="1"/>
        <v>489.077</v>
      </c>
      <c r="H35" s="55">
        <v>1175</v>
      </c>
      <c r="I35" s="54" t="s">
        <v>77</v>
      </c>
      <c r="J35" s="55">
        <f t="shared" si="21"/>
        <v>6451.6670000000004</v>
      </c>
      <c r="K35" s="55">
        <f t="shared" si="22"/>
        <v>77420.004000000001</v>
      </c>
      <c r="L35" s="55">
        <f t="shared" si="23"/>
        <v>4787.59</v>
      </c>
      <c r="M35" s="55">
        <f t="shared" si="24"/>
        <v>1595.8633333333335</v>
      </c>
      <c r="N35" s="55">
        <f t="shared" si="6"/>
        <v>611.52380000000005</v>
      </c>
      <c r="O35" s="55">
        <f t="shared" si="25"/>
        <v>84414.98113333332</v>
      </c>
      <c r="P35" s="55">
        <f t="shared" si="26"/>
        <v>422074.90566666657</v>
      </c>
      <c r="Q35" s="58" t="s">
        <v>350</v>
      </c>
      <c r="R35" s="54">
        <f t="shared" si="9"/>
        <v>4787.59</v>
      </c>
      <c r="S35" s="74">
        <f t="shared" si="10"/>
        <v>489.077</v>
      </c>
      <c r="T35" s="74">
        <f t="shared" si="11"/>
        <v>489.077</v>
      </c>
      <c r="U35" s="74">
        <f t="shared" si="12"/>
        <v>4787.59</v>
      </c>
      <c r="V35" s="74">
        <f t="shared" si="13"/>
        <v>489.077</v>
      </c>
      <c r="W35" s="74">
        <f t="shared" si="14"/>
        <v>489.077</v>
      </c>
      <c r="X35" s="74">
        <f t="shared" si="15"/>
        <v>1595.8633333333335</v>
      </c>
      <c r="Y35" s="74">
        <f t="shared" si="16"/>
        <v>122.44680000000002</v>
      </c>
      <c r="Z35" s="74">
        <f t="shared" si="17"/>
        <v>122.44680000000002</v>
      </c>
      <c r="AA35" s="74">
        <f t="shared" si="18"/>
        <v>611.52380000000005</v>
      </c>
    </row>
    <row r="36" spans="1:27" ht="17">
      <c r="A36" s="58" t="s">
        <v>21</v>
      </c>
      <c r="B36" s="54" t="str">
        <f>INDEX(PERFIL!$C$2:$C$146,MATCH(CUSTO!A36,PERFIL!$B$2:$B$146,0))</f>
        <v>NI</v>
      </c>
      <c r="C36" s="54">
        <f>INDEX(PAINEL!$B$4:$B$100,MATCH($A36,PAINEL!$A$4:$A$100,0))</f>
        <v>3</v>
      </c>
      <c r="D36" s="55">
        <v>2182.59</v>
      </c>
      <c r="E36" s="55">
        <v>2605</v>
      </c>
      <c r="F36" s="55">
        <f t="shared" ref="F36:F38" si="27">D36+E36</f>
        <v>4787.59</v>
      </c>
      <c r="G36" s="55">
        <f t="shared" si="1"/>
        <v>489.077</v>
      </c>
      <c r="H36" s="55">
        <v>1175</v>
      </c>
      <c r="I36" s="54" t="s">
        <v>77</v>
      </c>
      <c r="J36" s="55">
        <f t="shared" ref="J36:J38" si="28">SUM(F36:I36)</f>
        <v>6451.6670000000004</v>
      </c>
      <c r="K36" s="55">
        <f t="shared" ref="K36:K38" si="29">J36*12</f>
        <v>77420.004000000001</v>
      </c>
      <c r="L36" s="55">
        <f t="shared" ref="L36:L38" si="30">F36</f>
        <v>4787.59</v>
      </c>
      <c r="M36" s="55">
        <f t="shared" ref="M36:M38" si="31">F36/3</f>
        <v>1595.8633333333335</v>
      </c>
      <c r="N36" s="55">
        <f t="shared" si="6"/>
        <v>611.52380000000005</v>
      </c>
      <c r="O36" s="55">
        <f t="shared" ref="O36:O37" si="32">SUM(K36:N36)</f>
        <v>84414.98113333332</v>
      </c>
      <c r="P36" s="55">
        <f t="shared" ref="P36:P37" si="33">C36*O36</f>
        <v>253244.94339999996</v>
      </c>
      <c r="Q36" s="58" t="s">
        <v>350</v>
      </c>
      <c r="R36" s="54">
        <f t="shared" si="9"/>
        <v>4787.59</v>
      </c>
      <c r="S36" s="74">
        <f t="shared" si="10"/>
        <v>489.077</v>
      </c>
      <c r="T36" s="74">
        <f t="shared" si="11"/>
        <v>489.077</v>
      </c>
      <c r="U36" s="74">
        <f t="shared" si="12"/>
        <v>4787.59</v>
      </c>
      <c r="V36" s="74">
        <f t="shared" si="13"/>
        <v>489.077</v>
      </c>
      <c r="W36" s="74">
        <f t="shared" si="14"/>
        <v>489.077</v>
      </c>
      <c r="X36" s="74">
        <f t="shared" si="15"/>
        <v>1595.8633333333335</v>
      </c>
      <c r="Y36" s="74">
        <f t="shared" si="16"/>
        <v>122.44680000000002</v>
      </c>
      <c r="Z36" s="74">
        <f t="shared" si="17"/>
        <v>122.44680000000002</v>
      </c>
      <c r="AA36" s="74">
        <f t="shared" si="18"/>
        <v>611.52380000000005</v>
      </c>
    </row>
    <row r="37" spans="1:27" ht="17">
      <c r="A37" s="58" t="s">
        <v>191</v>
      </c>
      <c r="B37" s="54" t="str">
        <f>INDEX(PERFIL!$C$2:$C$146,MATCH(CUSTO!A37,PERFIL!$B$2:$B$146,0))</f>
        <v>NS</v>
      </c>
      <c r="C37" s="54">
        <f>INDEX(PAINEL!$B$4:$B$100,MATCH($A37,PAINEL!$A$4:$A$100,0))</f>
        <v>1</v>
      </c>
      <c r="D37" s="55">
        <v>2769.57</v>
      </c>
      <c r="E37" s="55">
        <v>4390</v>
      </c>
      <c r="F37" s="55">
        <f t="shared" si="27"/>
        <v>7159.57</v>
      </c>
      <c r="G37" s="55">
        <f t="shared" si="1"/>
        <v>821.15419999999995</v>
      </c>
      <c r="H37" s="55">
        <v>1175</v>
      </c>
      <c r="I37" s="54" t="s">
        <v>77</v>
      </c>
      <c r="J37" s="55">
        <f t="shared" si="28"/>
        <v>9155.7242000000006</v>
      </c>
      <c r="K37" s="55">
        <f t="shared" si="29"/>
        <v>109868.69040000001</v>
      </c>
      <c r="L37" s="55">
        <f t="shared" si="30"/>
        <v>7159.57</v>
      </c>
      <c r="M37" s="55">
        <f t="shared" si="31"/>
        <v>2386.5233333333331</v>
      </c>
      <c r="N37" s="55">
        <f t="shared" si="6"/>
        <v>1014.7603999999999</v>
      </c>
      <c r="O37" s="55">
        <f t="shared" si="32"/>
        <v>120429.54413333333</v>
      </c>
      <c r="P37" s="55">
        <f t="shared" si="33"/>
        <v>120429.54413333333</v>
      </c>
      <c r="Q37" s="58" t="s">
        <v>350</v>
      </c>
      <c r="R37" s="54">
        <f t="shared" si="9"/>
        <v>7159.57</v>
      </c>
      <c r="S37" s="74">
        <f t="shared" si="10"/>
        <v>821.15419999999995</v>
      </c>
      <c r="T37" s="74">
        <f t="shared" si="11"/>
        <v>821.15419999999995</v>
      </c>
      <c r="U37" s="74">
        <f t="shared" si="12"/>
        <v>7159.57</v>
      </c>
      <c r="V37" s="74">
        <f t="shared" si="13"/>
        <v>821.15419999999995</v>
      </c>
      <c r="W37" s="74">
        <f t="shared" si="14"/>
        <v>821.15419999999995</v>
      </c>
      <c r="X37" s="74">
        <f t="shared" si="15"/>
        <v>2386.5233333333331</v>
      </c>
      <c r="Y37" s="74">
        <f t="shared" si="16"/>
        <v>193.6062</v>
      </c>
      <c r="Z37" s="74">
        <f t="shared" si="17"/>
        <v>193.6062</v>
      </c>
      <c r="AA37" s="74">
        <f t="shared" si="18"/>
        <v>1014.7603999999999</v>
      </c>
    </row>
    <row r="38" spans="1:27" ht="17">
      <c r="A38" s="58" t="s">
        <v>20</v>
      </c>
      <c r="B38" s="54" t="str">
        <f>INDEX(PERFIL!$C$2:$C$146,MATCH(CUSTO!A38,PERFIL!$B$2:$B$146,0))</f>
        <v>NS</v>
      </c>
      <c r="C38" s="54">
        <f>INDEX(PAINEL!$B$4:$B$100,MATCH($A38,PAINEL!$A$4:$A$100,0))</f>
        <v>3</v>
      </c>
      <c r="D38" s="55">
        <v>2769.57</v>
      </c>
      <c r="E38" s="55">
        <v>4390</v>
      </c>
      <c r="F38" s="55">
        <f t="shared" si="27"/>
        <v>7159.57</v>
      </c>
      <c r="G38" s="55">
        <f t="shared" si="1"/>
        <v>821.15419999999995</v>
      </c>
      <c r="H38" s="55">
        <v>1175</v>
      </c>
      <c r="I38" s="54" t="s">
        <v>77</v>
      </c>
      <c r="J38" s="55">
        <f t="shared" si="28"/>
        <v>9155.7242000000006</v>
      </c>
      <c r="K38" s="55">
        <f t="shared" si="29"/>
        <v>109868.69040000001</v>
      </c>
      <c r="L38" s="55">
        <f t="shared" si="30"/>
        <v>7159.57</v>
      </c>
      <c r="M38" s="55">
        <f t="shared" si="31"/>
        <v>2386.5233333333331</v>
      </c>
      <c r="N38" s="55">
        <f t="shared" si="6"/>
        <v>1014.7603999999999</v>
      </c>
      <c r="O38" s="55">
        <f>SUM(K38:N38)</f>
        <v>120429.54413333333</v>
      </c>
      <c r="P38" s="55">
        <f>C38*O38</f>
        <v>361288.6324</v>
      </c>
      <c r="Q38" s="58" t="s">
        <v>350</v>
      </c>
      <c r="R38" s="54">
        <f t="shared" si="9"/>
        <v>7159.57</v>
      </c>
      <c r="S38" s="74">
        <f t="shared" si="10"/>
        <v>821.15419999999995</v>
      </c>
      <c r="T38" s="74">
        <f t="shared" si="11"/>
        <v>821.15419999999995</v>
      </c>
      <c r="U38" s="74">
        <f t="shared" si="12"/>
        <v>7159.57</v>
      </c>
      <c r="V38" s="74">
        <f t="shared" si="13"/>
        <v>821.15419999999995</v>
      </c>
      <c r="W38" s="74">
        <f t="shared" si="14"/>
        <v>821.15419999999995</v>
      </c>
      <c r="X38" s="74">
        <f t="shared" si="15"/>
        <v>2386.5233333333331</v>
      </c>
      <c r="Y38" s="74">
        <f t="shared" si="16"/>
        <v>193.6062</v>
      </c>
      <c r="Z38" s="74">
        <f t="shared" si="17"/>
        <v>193.6062</v>
      </c>
      <c r="AA38" s="74">
        <f t="shared" si="18"/>
        <v>1014.7603999999999</v>
      </c>
    </row>
    <row r="39" spans="1:27" ht="17">
      <c r="A39" s="122" t="s">
        <v>78</v>
      </c>
      <c r="B39" s="122"/>
      <c r="C39" s="54">
        <f t="shared" ref="C39:H39" si="34">SUM(C4:C38)</f>
        <v>326</v>
      </c>
      <c r="D39" s="55">
        <f t="shared" si="34"/>
        <v>105597.96000000004</v>
      </c>
      <c r="E39" s="55">
        <f t="shared" si="34"/>
        <v>152505.21000000002</v>
      </c>
      <c r="F39" s="55">
        <f t="shared" si="34"/>
        <v>258103.17000000007</v>
      </c>
      <c r="G39" s="55">
        <f t="shared" si="34"/>
        <v>29896.465300000014</v>
      </c>
      <c r="H39" s="55">
        <f t="shared" si="34"/>
        <v>41125</v>
      </c>
      <c r="I39" s="54" t="s">
        <v>77</v>
      </c>
      <c r="J39" s="55">
        <f t="shared" ref="J39:P39" si="35">SUM(J4:J38)</f>
        <v>329124.63530000002</v>
      </c>
      <c r="K39" s="55">
        <f t="shared" si="35"/>
        <v>3949495.6236000028</v>
      </c>
      <c r="L39" s="55">
        <f t="shared" si="35"/>
        <v>258103.17000000007</v>
      </c>
      <c r="M39" s="55">
        <f t="shared" si="35"/>
        <v>86034.389999999956</v>
      </c>
      <c r="N39" s="55">
        <f t="shared" si="35"/>
        <v>37087.272366666657</v>
      </c>
      <c r="O39" s="55">
        <f t="shared" si="35"/>
        <v>4330720.4559666682</v>
      </c>
      <c r="P39" s="55">
        <f t="shared" si="35"/>
        <v>42181841.204233333</v>
      </c>
    </row>
  </sheetData>
  <autoFilter ref="A1:AA39" xr:uid="{5EA7B540-F508-4BAC-A01C-A05CDC1D8F56}">
    <filterColumn colId="17" showButton="0"/>
    <filterColumn colId="18" showButton="0"/>
    <filterColumn colId="20" showButton="0"/>
    <filterColumn colId="21" showButton="0"/>
    <filterColumn colId="23" showButton="0"/>
    <filterColumn colId="24" showButton="0"/>
  </autoFilter>
  <mergeCells count="29">
    <mergeCell ref="Q1:Q3"/>
    <mergeCell ref="R1:T1"/>
    <mergeCell ref="R2:R3"/>
    <mergeCell ref="S2:S3"/>
    <mergeCell ref="T2:T3"/>
    <mergeCell ref="U1:W1"/>
    <mergeCell ref="U2:U3"/>
    <mergeCell ref="V2:V3"/>
    <mergeCell ref="W2:W3"/>
    <mergeCell ref="AA2:AA3"/>
    <mergeCell ref="X1:Z1"/>
    <mergeCell ref="X2:X3"/>
    <mergeCell ref="Y2:Y3"/>
    <mergeCell ref="Z2:Z3"/>
    <mergeCell ref="O2:O3"/>
    <mergeCell ref="P2:P3"/>
    <mergeCell ref="A39:B39"/>
    <mergeCell ref="G2:G3"/>
    <mergeCell ref="H2:H3"/>
    <mergeCell ref="I2:I3"/>
    <mergeCell ref="L2:L3"/>
    <mergeCell ref="M2:M3"/>
    <mergeCell ref="N2:N3"/>
    <mergeCell ref="A1:A3"/>
    <mergeCell ref="B1:B3"/>
    <mergeCell ref="C2:C3"/>
    <mergeCell ref="D2:D3"/>
    <mergeCell ref="E2:E3"/>
    <mergeCell ref="F2:F3"/>
  </mergeCells>
  <conditionalFormatting sqref="A39:P39">
    <cfRule type="expression" dxfId="1" priority="4">
      <formula>#REF!="CONFERIDO"</formula>
    </cfRule>
  </conditionalFormatting>
  <conditionalFormatting sqref="A4:Q38 Q39 A40:Q122">
    <cfRule type="expression" dxfId="0" priority="2">
      <formula>$Q4="CONFERIDO"</formula>
    </cfRule>
  </conditionalFormatting>
  <dataValidations count="1">
    <dataValidation type="list" allowBlank="1" showInputMessage="1" showErrorMessage="1" sqref="Q4:Q38" xr:uid="{303F577A-CBD3-4D86-91B3-3068AAC8DACA}">
      <formula1>"CONFERIDO"</formula1>
    </dataValidation>
  </dataValidations>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46D17-E6B8-4BFF-BE3C-8F9624EBB398}">
  <dimension ref="A1:G5"/>
  <sheetViews>
    <sheetView workbookViewId="0">
      <selection activeCell="E17" sqref="E17"/>
    </sheetView>
  </sheetViews>
  <sheetFormatPr baseColWidth="10" defaultColWidth="8.83203125" defaultRowHeight="15"/>
  <cols>
    <col min="5" max="5" width="22.5" bestFit="1" customWidth="1"/>
  </cols>
  <sheetData>
    <row r="1" spans="1:7" ht="16">
      <c r="A1" s="69"/>
      <c r="B1" s="70" t="s">
        <v>351</v>
      </c>
      <c r="C1" s="71">
        <v>7159.87</v>
      </c>
      <c r="D1" s="69"/>
      <c r="E1" s="70" t="s">
        <v>352</v>
      </c>
      <c r="F1" s="72">
        <f>IF(C2&lt;7786.02,C2,((C2-7786.02)*8.5%)+7786.02)</f>
        <v>821.19620000000009</v>
      </c>
      <c r="G1" s="69"/>
    </row>
    <row r="2" spans="1:7" ht="16">
      <c r="A2" s="69"/>
      <c r="B2" s="70" t="s">
        <v>353</v>
      </c>
      <c r="C2" s="72">
        <f>IF(C1&lt;1412.01,(105.9),IF(C1&lt;2666.69,(((C1-1412.01)*9%)+105.9),IF(C1&lt;4000.04,(((C1-2666.69)*12%)+218.82),IF(C1&lt;7786.03,(((C1-4000.04)*14%)+378.82),IF(C1&lt;13333.49,(((C1-7786.03)*14.5%)+908.86),IF(C1&lt;26666.95,(((C1-13333.49)*16.5%)+1713.24),IF(C1&lt;52000.54,(((C1-26666.95)*19%)+3913.26),IF(C1&gt;52000.54,(((C1-52000.54)*22%)+8726.64),"ERRO"))))))))</f>
        <v>821.19620000000009</v>
      </c>
      <c r="D2" s="69"/>
      <c r="E2" s="69"/>
      <c r="F2" s="69"/>
      <c r="G2" s="69"/>
    </row>
    <row r="3" spans="1:7" ht="16">
      <c r="A3" s="69"/>
      <c r="B3" s="69"/>
      <c r="C3" s="69"/>
      <c r="D3" s="69"/>
      <c r="E3" s="69"/>
      <c r="F3" s="73"/>
      <c r="G3" s="69"/>
    </row>
    <row r="4" spans="1:7" ht="16">
      <c r="A4" s="73"/>
      <c r="B4" s="69"/>
      <c r="C4" s="69"/>
      <c r="D4" s="69"/>
      <c r="E4" s="69"/>
      <c r="F4" s="69"/>
      <c r="G4" s="69"/>
    </row>
    <row r="5" spans="1:7" ht="16">
      <c r="A5" s="73"/>
      <c r="B5" s="69"/>
      <c r="C5" s="69"/>
      <c r="D5" s="69"/>
      <c r="E5" s="69"/>
      <c r="F5" s="69"/>
      <c r="G5" s="69"/>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A9C2C1D-6A2D-40CD-A1E6-43D283D062F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AFA</vt:lpstr>
      <vt:lpstr>AFA - IMPACTO</vt:lpstr>
      <vt:lpstr>PERFIL</vt:lpstr>
      <vt:lpstr>PAINEL</vt:lpstr>
      <vt:lpstr>CUSTO</vt:lpstr>
      <vt:lpstr>INSS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 Martane</dc:creator>
  <cp:lastModifiedBy>ivan martane</cp:lastModifiedBy>
  <dcterms:created xsi:type="dcterms:W3CDTF">2025-10-21T13:46:57Z</dcterms:created>
  <dcterms:modified xsi:type="dcterms:W3CDTF">2025-12-16T00:34:39Z</dcterms:modified>
</cp:coreProperties>
</file>