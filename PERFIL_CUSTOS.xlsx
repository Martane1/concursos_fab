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2D24943B-DDD9-0D4F-B556-ABF0B82ADB63}" xr6:coauthVersionLast="47" xr6:coauthVersionMax="47" xr10:uidLastSave="{00000000-0000-0000-0000-000000000000}"/>
  <bookViews>
    <workbookView xWindow="0" yWindow="620" windowWidth="28800" windowHeight="1738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7" l="1"/>
  <c r="L25" i="7" s="1"/>
  <c r="U25" i="7" s="1"/>
  <c r="V25" i="7" s="1"/>
  <c r="W25" i="7" s="1"/>
  <c r="E19" i="7"/>
  <c r="E20" i="7"/>
  <c r="E17" i="7"/>
  <c r="H59" i="7"/>
  <c r="D59" i="7"/>
  <c r="F4" i="7"/>
  <c r="C2" i="13"/>
  <c r="F1" i="13" s="1"/>
  <c r="R25" i="7" l="1"/>
  <c r="S25" i="7" s="1"/>
  <c r="T25" i="7" s="1"/>
  <c r="G25" i="7" s="1"/>
  <c r="J25" i="7" s="1"/>
  <c r="K25" i="7" s="1"/>
  <c r="M25" i="7"/>
  <c r="X25" i="7" s="1"/>
  <c r="Y25" i="7" s="1"/>
  <c r="Z25" i="7" s="1"/>
  <c r="AA25" i="7" s="1"/>
  <c r="R4" i="7"/>
  <c r="S4" i="7" s="1"/>
  <c r="E18" i="7"/>
  <c r="O25" i="7" l="1"/>
  <c r="E5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J4" i="7"/>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5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AA34" i="7"/>
  <c r="AA20" i="7"/>
  <c r="AA30" i="7"/>
  <c r="AA19" i="7"/>
  <c r="AA13" i="7"/>
  <c r="AA37" i="7"/>
  <c r="AA29" i="7"/>
  <c r="AA23" i="7"/>
  <c r="AA14" i="7"/>
  <c r="AA35" i="7"/>
  <c r="AA32" i="7"/>
  <c r="AA18" i="7"/>
  <c r="AA31" i="7"/>
  <c r="AA6" i="7"/>
  <c r="AA9" i="7"/>
  <c r="G59" i="7"/>
  <c r="AA27" i="7"/>
  <c r="AA16" i="7"/>
  <c r="AA7" i="7"/>
  <c r="AA5" i="7"/>
  <c r="AA22" i="7"/>
  <c r="AA8" i="7"/>
  <c r="AA36" i="7"/>
  <c r="AA15" i="7"/>
  <c r="AA28" i="7"/>
  <c r="AA12" i="7"/>
  <c r="AA21" i="7"/>
  <c r="AA38" i="7"/>
  <c r="AA10" i="7"/>
  <c r="J9" i="7"/>
  <c r="K9" i="7" s="1"/>
  <c r="O9" i="7" s="1"/>
  <c r="AA4" i="7"/>
  <c r="N4" i="7" s="1"/>
  <c r="N59" i="7" s="1"/>
  <c r="O38" i="7"/>
  <c r="AA26" i="7"/>
  <c r="AA11" i="7"/>
  <c r="AA33" i="7"/>
  <c r="AA17" i="7"/>
  <c r="O34" i="7"/>
  <c r="O6" i="7"/>
  <c r="O35" i="7"/>
  <c r="J13" i="7"/>
  <c r="K13" i="7" s="1"/>
  <c r="O13" i="7" s="1"/>
  <c r="O29" i="7"/>
  <c r="O37" i="7"/>
  <c r="O33" i="7"/>
  <c r="O11" i="7"/>
  <c r="O21" i="7"/>
  <c r="O20" i="7"/>
  <c r="O36" i="7"/>
  <c r="O26" i="7"/>
  <c r="L59" i="7"/>
  <c r="M59" i="7"/>
  <c r="O28" i="7"/>
  <c r="O23" i="7"/>
  <c r="O12" i="7"/>
  <c r="O32" i="7"/>
  <c r="O27" i="7"/>
  <c r="O30" i="7"/>
  <c r="O18" i="7"/>
  <c r="O19" i="7"/>
  <c r="O10" i="7"/>
  <c r="O5" i="7"/>
  <c r="O15" i="7"/>
  <c r="O17" i="7"/>
  <c r="O14" i="7"/>
  <c r="O22" i="7"/>
  <c r="O7" i="7"/>
  <c r="O24" i="7"/>
  <c r="O31" i="7"/>
  <c r="O8" i="7"/>
  <c r="O16" i="7"/>
  <c r="J59" i="7" l="1"/>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59" i="7" l="1"/>
  <c r="R15" i="5"/>
  <c r="Y15" i="5" s="1"/>
  <c r="K4" i="7"/>
  <c r="K59" i="7" s="1"/>
  <c r="O4" i="7" l="1"/>
  <c r="O59" i="7" s="1"/>
  <c r="P4" i="7" l="1"/>
  <c r="P5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<sst xmlns="http://schemas.openxmlformats.org/spreadsheetml/2006/main" count="4415" uniqueCount="445">
  <si>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</si>
  <si>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</si>
  <si>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</si>
  <si>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</si>
  <si>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</si>
  <si>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</si>
  <si>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</si>
  <si>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</si>
  <si>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</si>
  <si>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</si>
  <si>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</si>
  <si>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</si>
  <si>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</si>
  <si>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</si>
  <si>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</si>
  <si>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</si>
  <si>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</si>
  <si>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</si>
  <si>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</si>
  <si>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</si>
  <si>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</si>
  <si>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</si>
  <si>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</si>
  <si>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</si>
  <si>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</si>
  <si>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</si>
  <si>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</si>
  <si>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</si>
  <si>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</si>
  <si>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</si>
  <si>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</si>
  <si>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</si>
  <si>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</si>
  <si>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</si>
  <si>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</si>
  <si>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</si>
  <si>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</si>
  <si>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</si>
  <si>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</si>
  <si>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</si>
  <si>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</si>
  <si>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</si>
  <si>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</si>
  <si>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</si>
  <si>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</si>
  <si>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</si>
  <si>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</si>
  <si>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</si>
  <si>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</si>
  <si>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</si>
  <si>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</si>
  <si>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</si>
  <si>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</si>
  <si>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</si>
  <si>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</si>
  <si>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</si>
  <si>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</si>
  <si>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</si>
  <si>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</si>
  <si>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</si>
  <si>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</si>
  <si>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</si>
  <si>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</si>
  <si>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</si>
  <si>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</si>
  <si>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</si>
  <si>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</si>
  <si>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</si>
  <si>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</si>
  <si>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</si>
  <si>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</si>
  <si>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</si>
  <si>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</si>
  <si>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</si>
  <si>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</si>
  <si>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</si>
  <si>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</si>
  <si>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</si>
  <si>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</si>
  <si>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</si>
  <si>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</si>
  <si>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</si>
  <si>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</si>
  <si>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</si>
  <si>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</si>
  <si>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</si>
  <si>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</si>
  <si>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</si>
  <si>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</si>
  <si>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</si>
  <si>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</si>
  <si>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</si>
  <si>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</si>
  <si>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</si>
  <si>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</si>
  <si>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</si>
  <si>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</si>
  <si>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</si>
  <si>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</si>
  <si>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</si>
  <si>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</si>
  <si>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</si>
  <si>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</si>
  <si>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</si>
  <si>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</si>
  <si>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</si>
  <si>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</si>
  <si>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</si>
  <si>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</si>
  <si>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</si>
  <si>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</si>
  <si>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</si>
  <si>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</si>
  <si>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</si>
  <si>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</si>
  <si>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</si>
  <si>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</si>
  <si>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</si>
  <si>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</si>
  <si>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</si>
  <si>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</si>
  <si>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Anestesista (20h)</t>
  </si>
  <si>
    <t>Médico Cirurgião (20h)</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</si>
  <si>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</si>
  <si>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</si>
  <si>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</si>
  <si>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</si>
  <si>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</si>
  <si>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</si>
  <si>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</si>
  <si>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</si>
  <si>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</si>
  <si>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</si>
  <si>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</si>
  <si>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</si>
  <si>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</si>
  <si>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</si>
  <si>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</si>
  <si>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</si>
  <si>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</si>
  <si>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</si>
  <si>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</si>
  <si>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</si>
  <si>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</si>
  <si>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</si>
  <si>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</si>
  <si>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</si>
  <si>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</si>
  <si>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</si>
  <si>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</si>
  <si>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</si>
  <si>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</si>
  <si>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</si>
  <si>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</si>
  <si>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</si>
  <si>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</si>
  <si>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</si>
  <si>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</si>
  <si>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</si>
  <si>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</si>
  <si>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</si>
  <si>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</si>
  <si>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</si>
  <si>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</si>
  <si>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</si>
  <si>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</si>
  <si>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</si>
  <si>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</si>
  <si>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</si>
  <si>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</si>
  <si>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</si>
  <si>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</si>
  <si>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</si>
  <si>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</si>
  <si>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</si>
  <si>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</si>
  <si>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</si>
  <si>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</si>
  <si>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</si>
  <si>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</si>
  <si>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</si>
  <si>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</si>
  <si>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</si>
  <si>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</si>
  <si>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</si>
  <si>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</si>
  <si>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</si>
  <si>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</si>
  <si>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</si>
  <si>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</si>
  <si>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</si>
  <si>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</si>
  <si>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</si>
  <si>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</si>
  <si>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</si>
  <si>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</si>
  <si>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</si>
  <si>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</si>
  <si>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</si>
  <si>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</si>
  <si>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</si>
  <si>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</si>
  <si>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</si>
  <si>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</si>
  <si>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</si>
  <si>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</si>
  <si>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</si>
  <si>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</si>
  <si>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</si>
  <si>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</si>
  <si>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</si>
  <si>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</si>
  <si>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</si>
  <si>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</si>
  <si>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</si>
  <si>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</si>
  <si>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</si>
  <si>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</si>
  <si>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</si>
  <si>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</si>
  <si>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</si>
  <si>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</si>
  <si>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</si>
  <si>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</si>
  <si>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</si>
  <si>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</si>
  <si>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</si>
  <si>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</si>
  <si>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</si>
  <si>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</si>
  <si>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</si>
  <si>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</si>
  <si>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</si>
  <si>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</si>
  <si>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</si>
  <si>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</si>
  <si>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</si>
  <si>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</si>
  <si>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</si>
  <si>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</si>
  <si>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</si>
  <si>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</si>
  <si>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</si>
  <si>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</si>
  <si>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</si>
  <si>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</si>
  <si>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</si>
  <si>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</si>
  <si>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</si>
  <si>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</si>
  <si>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</si>
  <si>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</si>
  <si>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</si>
  <si>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</si>
  <si>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</si>
  <si>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</si>
  <si>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</si>
  <si>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</si>
  <si>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</si>
  <si>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</si>
  <si>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</si>
  <si>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</si>
  <si>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</si>
  <si>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</si>
  <si>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</si>
  <si>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</si>
  <si>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</si>
  <si>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</si>
  <si>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</si>
  <si>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</si>
  <si>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</si>
  <si>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</si>
  <si>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</si>
  <si>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</si>
  <si>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</si>
  <si>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</si>
  <si>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</si>
  <si>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</si>
  <si>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</si>
  <si>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</si>
  <si>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</si>
  <si>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</si>
  <si>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</si>
  <si>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</si>
  <si>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</si>
  <si>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</si>
  <si>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</si>
  <si>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</si>
  <si>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</si>
  <si>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</si>
  <si>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</si>
  <si>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</si>
  <si>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</si>
  <si>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</si>
  <si>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</si>
  <si>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</si>
  <si>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</si>
  <si>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</si>
  <si>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</si>
  <si>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</si>
  <si>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</si>
  <si>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</si>
  <si>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</si>
  <si>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</si>
  <si>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</si>
  <si>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</si>
  <si>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</si>
  <si>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</si>
  <si>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</si>
  <si>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</si>
  <si>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</si>
  <si>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</si>
  <si>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</si>
  <si>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</si>
  <si>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</si>
  <si>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</si>
  <si>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</si>
  <si>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</si>
  <si>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</si>
  <si>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</si>
  <si>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</si>
  <si>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Professor da Carreira de Magistério do EBTT – Língua Inglesa</t>
  </si>
  <si>
    <t>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</si>
  <si>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Licenciatura em Língua Inglesa ou Letras com habilitação em Inglês.</t>
  </si>
  <si>
    <t>Professor da Carreira de Magistério do EBTT – Educação Física</t>
  </si>
  <si>
    <t>Licenciatura em Educação Física.</t>
  </si>
  <si>
    <t>Professor da Carreira de Magistério do EBTT – Matemática</t>
  </si>
  <si>
    <t>Licenciatura em Matemática.</t>
  </si>
  <si>
    <t>Professor da Carreira de Magistério do EBTT – Física</t>
  </si>
  <si>
    <t>Licenciatura em Física ou Ciências da Natureza.</t>
  </si>
  <si>
    <t>Professor da Carreira de Magistério do EBTT – Língua Portuguesa</t>
  </si>
  <si>
    <t>Licenciatura em Letras.</t>
  </si>
  <si>
    <t>Professor da Carreira de Magistério do EBTT – História</t>
  </si>
  <si>
    <t>Licenciatura em História ou Ciências Humanas.</t>
  </si>
  <si>
    <t>Professor da Carreira de Magistério do EBTT – Sociologia</t>
  </si>
  <si>
    <t>Licenciatura em Sociologia, Ciências Sociais ou Ciências Humanas.</t>
  </si>
  <si>
    <t>Professor da Carreira de Magistério do EBTT – Filosofia</t>
  </si>
  <si>
    <t>Licenciatura em Filosofia ou Ciências Humanas.</t>
  </si>
  <si>
    <t>Professor da Carreira de Magistério do EBTT – Biologia</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</si>
  <si>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</si>
  <si>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</si>
  <si>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</si>
  <si>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</si>
  <si>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</si>
  <si>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</si>
  <si>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</si>
  <si>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</si>
  <si>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</si>
  <si>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</si>
  <si>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</si>
  <si>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</si>
  <si>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</si>
  <si>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</si>
  <si>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</si>
  <si>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</si>
  <si>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</si>
  <si>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</si>
  <si>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</si>
  <si>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</si>
  <si>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</si>
  <si>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</si>
  <si>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</si>
  <si>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</si>
  <si>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</si>
  <si>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</si>
  <si>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</si>
  <si>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</si>
  <si>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</si>
  <si>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</si>
  <si>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</si>
  <si>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</si>
  <si>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</si>
  <si>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</si>
  <si>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</si>
  <si>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</si>
  <si>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</si>
  <si>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</si>
  <si>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</si>
  <si>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</si>
  <si>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</si>
  <si>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</si>
  <si>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</si>
  <si>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</si>
  <si>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</si>
  <si>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</si>
  <si>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</si>
  <si>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Column1</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</si>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</sst>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2">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4" fontId="3" fillId="0" borderId="15" xfId="0" applyNumberFormat="1" applyFont="1" applyBorder="1" applyAlignment="1">
      <alignment horizontal="center" vertical="center"/>
    </xf>
    <xf numFmtId="8" fontId="3" fillId="0" borderId="15" xfId="0" applyNumberFormat="1" applyFont="1" applyBorder="1" applyAlignment="1">
      <alignment horizontal="center" vertical="center"/>
    </xf>
    <xf numFmtId="8" fontId="3" fillId="0" borderId="19" xfId="0" applyNumberFormat="1" applyFont="1" applyBorder="1" applyAlignment="1">
      <alignment horizontal="center" vertical="center"/>
    </xf>
    <xf numFmtId="8" fontId="15" fillId="0" borderId="20" xfId="0" applyNumberFormat="1" applyFont="1" applyBorder="1" applyAlignment="1">
      <alignment horizontal="center"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12" fillId="0" borderId="15"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5">
    <dxf>
      <fill>
        <patternFill>
          <bgColor theme="9" tint="0.59996337778862885"/>
        </patternFill>
      </fill>
    </dxf>
    <dxf>
      <fill>
        <patternFill>
          <bgColor theme="9" tint="0.59996337778862885"/>
        </patternFill>
      </fill>
    </dxf>
    <dxf>
      <font>
        <color rgb="FF9C0006"/>
      </font>
      <fill>
        <patternFill>
          <bgColor rgb="FFFFC7CE"/>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4" dataDxfId="12" headerRowBorderDxfId="13" tableBorderDxfId="11" totalsRowBorderDxfId="10">
  <autoFilter ref="A1:G146" xr:uid="{0C6123E8-53BB-4B9F-A35F-4E29498446BF}"/>
  <sortState xmlns:xlrd2="http://schemas.microsoft.com/office/spreadsheetml/2017/richdata2" ref="A38:G50">
    <sortCondition ref="B1:B90"/>
  </sortState>
  <tableColumns count="7">
    <tableColumn id="1" xr3:uid="{587E2BBC-01F3-41F2-9C20-EDA83C6F9718}" name="OM" dataDxfId="9"/>
    <tableColumn id="2" xr3:uid="{D1EDA7CC-1226-48E5-B680-FBB6C5DC6844}" name="CARGOS" dataDxfId="8"/>
    <tableColumn id="4" xr3:uid="{4DF7B1EC-654E-4A4D-B733-853185D4CB54}" name="NÍVEL" dataDxfId="7"/>
    <tableColumn id="5" xr3:uid="{C570357A-C001-46FF-B107-E0CFF5B784CF}" name="ATIVIDADE" dataDxfId="6"/>
    <tableColumn id="6" xr3:uid="{8F852DBF-BA62-44CA-8542-5AA47ECB909A}" name="REQUESITOS" dataDxfId="5"/>
    <tableColumn id="3" xr3:uid="{38D9C3E9-FC29-467D-9418-FD55114A843F}" name="Column1" dataDxfId="4"/>
    <tableColumn id="7" xr3:uid="{9CF2D53E-0E4E-4F6E-9E3F-1339FAEFD06A}" name="QTD"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5" t="s">
        <v>1</v>
      </c>
      <c r="C5" s="86"/>
      <c r="D5" s="87" t="s">
        <v>2</v>
      </c>
      <c r="E5" s="88"/>
      <c r="F5" s="88"/>
      <c r="G5" s="88"/>
      <c r="H5" s="89"/>
    </row>
    <row r="6" spans="2:8" ht="31.5" customHeight="1" thickBot="1">
      <c r="B6" s="85" t="s">
        <v>3</v>
      </c>
      <c r="C6" s="86"/>
      <c r="D6" s="87">
        <v>41066</v>
      </c>
      <c r="E6" s="88"/>
      <c r="F6" s="88"/>
      <c r="G6" s="88"/>
      <c r="H6" s="89"/>
    </row>
    <row r="7" spans="2:8" ht="31.5" customHeight="1" thickBot="1">
      <c r="B7" s="85" t="s">
        <v>4</v>
      </c>
      <c r="C7" s="86"/>
      <c r="D7" s="87">
        <v>48</v>
      </c>
      <c r="E7" s="88"/>
      <c r="F7" s="88"/>
      <c r="G7" s="88"/>
      <c r="H7" s="89"/>
    </row>
    <row r="8" spans="2:8" ht="31.5" customHeight="1" thickBot="1">
      <c r="B8" s="85" t="s">
        <v>5</v>
      </c>
      <c r="C8" s="86"/>
      <c r="D8" s="87">
        <v>145</v>
      </c>
      <c r="E8" s="88"/>
      <c r="F8" s="88"/>
      <c r="G8" s="88"/>
      <c r="H8" s="89"/>
    </row>
    <row r="9" spans="2:8" ht="17" thickBot="1">
      <c r="B9" s="85" t="s">
        <v>6</v>
      </c>
      <c r="C9" s="90"/>
      <c r="D9" s="90"/>
      <c r="E9" s="86"/>
      <c r="F9" s="87" t="s">
        <v>7</v>
      </c>
      <c r="G9" s="88"/>
      <c r="H9" s="89"/>
    </row>
    <row r="10" spans="2:8" ht="16" thickBot="1">
      <c r="B10" s="4" t="s">
        <v>8</v>
      </c>
      <c r="C10" s="91" t="s">
        <v>9</v>
      </c>
      <c r="D10" s="92"/>
      <c r="E10" s="5" t="s">
        <v>10</v>
      </c>
      <c r="F10" s="6">
        <v>2026</v>
      </c>
      <c r="G10" s="6">
        <v>2027</v>
      </c>
      <c r="H10" s="6">
        <v>2028</v>
      </c>
    </row>
    <row r="11" spans="2:8" ht="16" thickBot="1">
      <c r="B11" s="4" t="s">
        <v>11</v>
      </c>
      <c r="C11" s="83">
        <v>7159.87</v>
      </c>
      <c r="D11" s="84"/>
      <c r="E11" s="6">
        <v>1</v>
      </c>
      <c r="F11" s="7">
        <v>86769.43</v>
      </c>
      <c r="G11" s="7">
        <v>118333.49</v>
      </c>
      <c r="H11" s="7">
        <v>118333.49</v>
      </c>
    </row>
    <row r="12" spans="2:8" ht="16" thickBot="1">
      <c r="B12" s="4" t="s">
        <v>12</v>
      </c>
      <c r="C12" s="83">
        <v>7159.87</v>
      </c>
      <c r="D12" s="84"/>
      <c r="E12" s="6">
        <v>1</v>
      </c>
      <c r="F12" s="7">
        <v>86769.43</v>
      </c>
      <c r="G12" s="7">
        <v>118333.49</v>
      </c>
      <c r="H12" s="7">
        <v>118333.49</v>
      </c>
    </row>
    <row r="13" spans="2:8" ht="16" thickBot="1">
      <c r="B13" s="4" t="s">
        <v>13</v>
      </c>
      <c r="C13" s="93">
        <v>13753.96</v>
      </c>
      <c r="D13" s="94"/>
      <c r="E13" s="6">
        <v>34</v>
      </c>
      <c r="F13" s="7">
        <v>5448096.4199999999</v>
      </c>
      <c r="G13" s="7">
        <v>7446709.5800000001</v>
      </c>
      <c r="H13" s="7">
        <v>7446709.5800000001</v>
      </c>
    </row>
    <row r="14" spans="2:8" ht="16" thickBot="1">
      <c r="B14" s="4" t="s">
        <v>14</v>
      </c>
      <c r="C14" s="83">
        <v>7159.87</v>
      </c>
      <c r="D14" s="84"/>
      <c r="E14" s="6">
        <v>2</v>
      </c>
      <c r="F14" s="7">
        <v>173538.86</v>
      </c>
      <c r="G14" s="7">
        <v>236666.98</v>
      </c>
      <c r="H14" s="7">
        <v>236666.98</v>
      </c>
    </row>
    <row r="15" spans="2:8" ht="16" thickBot="1">
      <c r="B15" s="4" t="s">
        <v>15</v>
      </c>
      <c r="C15" s="93">
        <v>5613.57</v>
      </c>
      <c r="D15" s="94"/>
      <c r="E15" s="8">
        <v>1</v>
      </c>
      <c r="F15" s="7">
        <v>69582.94</v>
      </c>
      <c r="G15" s="7">
        <v>94856.06</v>
      </c>
      <c r="H15" s="7">
        <v>94856.06</v>
      </c>
    </row>
    <row r="16" spans="2:8" ht="16" thickBot="1">
      <c r="B16" s="9" t="s">
        <v>16</v>
      </c>
      <c r="C16" s="93">
        <v>5613.57</v>
      </c>
      <c r="D16" s="94"/>
      <c r="E16" s="8">
        <v>1</v>
      </c>
      <c r="F16" s="7">
        <v>69582.94</v>
      </c>
      <c r="G16" s="7">
        <v>94856.06</v>
      </c>
      <c r="H16" s="7">
        <v>94856.06</v>
      </c>
    </row>
    <row r="17" spans="2:8" ht="16" thickBot="1">
      <c r="B17" s="4" t="s">
        <v>17</v>
      </c>
      <c r="C17" s="93">
        <v>5613.57</v>
      </c>
      <c r="D17" s="94"/>
      <c r="E17" s="8">
        <v>1</v>
      </c>
      <c r="F17" s="7">
        <v>69582.94</v>
      </c>
      <c r="G17" s="7">
        <v>94856.06</v>
      </c>
      <c r="H17" s="7">
        <v>94856.06</v>
      </c>
    </row>
    <row r="18" spans="2:8" ht="16" thickBot="1">
      <c r="B18" s="4" t="s">
        <v>18</v>
      </c>
      <c r="C18" s="93">
        <v>5613.57</v>
      </c>
      <c r="D18" s="94"/>
      <c r="E18" s="8">
        <v>1</v>
      </c>
      <c r="F18" s="7">
        <v>69582.94</v>
      </c>
      <c r="G18" s="7">
        <v>94856.06</v>
      </c>
      <c r="H18" s="7">
        <v>94856.06</v>
      </c>
    </row>
    <row r="19" spans="2:8" ht="16" thickBot="1">
      <c r="B19" s="10" t="s">
        <v>19</v>
      </c>
      <c r="C19" s="93">
        <v>5613.57</v>
      </c>
      <c r="D19" s="94"/>
      <c r="E19" s="8">
        <v>1</v>
      </c>
      <c r="F19" s="7">
        <v>69582.94</v>
      </c>
      <c r="G19" s="7">
        <v>94856.06</v>
      </c>
      <c r="H19" s="7">
        <v>94856.06</v>
      </c>
    </row>
    <row r="20" spans="2:8" ht="16" thickBot="1">
      <c r="B20" s="10" t="s">
        <v>20</v>
      </c>
      <c r="C20" s="83">
        <v>7159.87</v>
      </c>
      <c r="D20" s="84"/>
      <c r="E20" s="8">
        <v>1</v>
      </c>
      <c r="F20" s="7">
        <v>86769.43</v>
      </c>
      <c r="G20" s="7">
        <v>118333.49</v>
      </c>
      <c r="H20" s="7">
        <v>118333.49</v>
      </c>
    </row>
    <row r="21" spans="2:8" ht="16" thickBot="1">
      <c r="B21" s="9" t="s">
        <v>21</v>
      </c>
      <c r="C21" s="93">
        <v>4787.47</v>
      </c>
      <c r="D21" s="94"/>
      <c r="E21" s="8">
        <v>1</v>
      </c>
      <c r="F21" s="7">
        <v>60409.05</v>
      </c>
      <c r="G21" s="7">
        <v>82414.12</v>
      </c>
      <c r="H21" s="7">
        <v>82414.12</v>
      </c>
    </row>
    <row r="22" spans="2:8" ht="16" thickBot="1">
      <c r="B22" s="4" t="s">
        <v>22</v>
      </c>
      <c r="C22" s="83">
        <v>7159.87</v>
      </c>
      <c r="D22" s="84"/>
      <c r="E22" s="6">
        <v>2</v>
      </c>
      <c r="F22" s="7">
        <v>173538.86</v>
      </c>
      <c r="G22" s="7">
        <v>236666.98</v>
      </c>
      <c r="H22" s="7">
        <v>236666.98</v>
      </c>
    </row>
    <row r="23" spans="2:8" ht="16" thickBot="1">
      <c r="B23" s="4" t="s">
        <v>23</v>
      </c>
      <c r="C23" s="83">
        <v>7159.87</v>
      </c>
      <c r="D23" s="84"/>
      <c r="E23" s="6">
        <v>1</v>
      </c>
      <c r="F23" s="7">
        <v>86769.43</v>
      </c>
      <c r="G23" s="7">
        <v>118333.49</v>
      </c>
      <c r="H23" s="7">
        <v>118333.49</v>
      </c>
    </row>
    <row r="24" spans="2:8" ht="16" thickBot="1">
      <c r="B24" s="4" t="s">
        <v>24</v>
      </c>
      <c r="C24" s="83">
        <v>7159.87</v>
      </c>
      <c r="D24" s="84"/>
      <c r="E24" s="6">
        <v>1</v>
      </c>
      <c r="F24" s="7">
        <v>86769.43</v>
      </c>
      <c r="G24" s="7">
        <v>118333.49</v>
      </c>
      <c r="H24" s="7">
        <v>118333.49</v>
      </c>
    </row>
    <row r="25" spans="2:8" ht="16" thickBot="1">
      <c r="B25" s="4" t="s">
        <v>25</v>
      </c>
      <c r="C25" s="83">
        <v>7159.87</v>
      </c>
      <c r="D25" s="84"/>
      <c r="E25" s="6">
        <v>2</v>
      </c>
      <c r="F25" s="7">
        <v>173538.86</v>
      </c>
      <c r="G25" s="7">
        <v>236666.98</v>
      </c>
      <c r="H25" s="7">
        <v>236666.98</v>
      </c>
    </row>
    <row r="26" spans="2:8" ht="16" thickBot="1">
      <c r="B26" s="4" t="s">
        <v>26</v>
      </c>
      <c r="C26" s="83">
        <v>7159.87</v>
      </c>
      <c r="D26" s="84"/>
      <c r="E26" s="6">
        <v>1</v>
      </c>
      <c r="F26" s="7">
        <v>86769.43</v>
      </c>
      <c r="G26" s="7">
        <v>118333.49</v>
      </c>
      <c r="H26" s="7">
        <v>118333.49</v>
      </c>
    </row>
    <row r="27" spans="2:8" ht="16" thickBot="1">
      <c r="B27" s="4" t="s">
        <v>27</v>
      </c>
      <c r="C27" s="83">
        <v>4787.47</v>
      </c>
      <c r="D27" s="84"/>
      <c r="E27" s="6">
        <v>5</v>
      </c>
      <c r="F27" s="7">
        <v>302045.25</v>
      </c>
      <c r="G27" s="7">
        <v>412070.6</v>
      </c>
      <c r="H27" s="7">
        <v>412070.6</v>
      </c>
    </row>
    <row r="28" spans="2:8" ht="16" thickBot="1">
      <c r="B28" s="4" t="s">
        <v>28</v>
      </c>
      <c r="C28" s="93">
        <v>4787.47</v>
      </c>
      <c r="D28" s="94"/>
      <c r="E28" s="6">
        <v>4</v>
      </c>
      <c r="F28" s="7">
        <v>241636.2</v>
      </c>
      <c r="G28" s="7">
        <v>329656.48</v>
      </c>
      <c r="H28" s="7">
        <v>329656.48</v>
      </c>
    </row>
    <row r="29" spans="2:8" ht="16" thickBot="1">
      <c r="B29" s="4" t="s">
        <v>29</v>
      </c>
      <c r="C29" s="93">
        <v>4787.47</v>
      </c>
      <c r="D29" s="94"/>
      <c r="E29" s="6">
        <v>1</v>
      </c>
      <c r="F29" s="7">
        <v>60409.05</v>
      </c>
      <c r="G29" s="7">
        <v>82414.12</v>
      </c>
      <c r="H29" s="7">
        <v>82414.12</v>
      </c>
    </row>
    <row r="30" spans="2:8" ht="16" thickBot="1">
      <c r="B30" s="4" t="s">
        <v>30</v>
      </c>
      <c r="C30" s="93">
        <v>4787.47</v>
      </c>
      <c r="D30" s="94"/>
      <c r="E30" s="6">
        <v>15</v>
      </c>
      <c r="F30" s="7">
        <v>906135.75</v>
      </c>
      <c r="G30" s="7">
        <v>1236211.8</v>
      </c>
      <c r="H30" s="7">
        <v>1236211.8</v>
      </c>
    </row>
    <row r="31" spans="2:8" ht="16" thickBot="1">
      <c r="B31" s="4" t="s">
        <v>31</v>
      </c>
      <c r="C31" s="93">
        <v>4787.47</v>
      </c>
      <c r="D31" s="94"/>
      <c r="E31" s="6">
        <v>1</v>
      </c>
      <c r="F31" s="7">
        <v>60409.05</v>
      </c>
      <c r="G31" s="7">
        <v>82414.12</v>
      </c>
      <c r="H31" s="7">
        <v>82414.12</v>
      </c>
    </row>
    <row r="32" spans="2:8" ht="16" thickBot="1">
      <c r="B32" s="4" t="s">
        <v>32</v>
      </c>
      <c r="C32" s="93">
        <v>4787.47</v>
      </c>
      <c r="D32" s="94"/>
      <c r="E32" s="6">
        <v>1</v>
      </c>
      <c r="F32" s="7">
        <v>60409.05</v>
      </c>
      <c r="G32" s="7">
        <v>82414.12</v>
      </c>
      <c r="H32" s="7">
        <v>82414.12</v>
      </c>
    </row>
    <row r="33" spans="2:8" ht="16" thickBot="1">
      <c r="B33" s="4" t="s">
        <v>33</v>
      </c>
      <c r="C33" s="93">
        <v>4787.47</v>
      </c>
      <c r="D33" s="94"/>
      <c r="E33" s="6">
        <v>1</v>
      </c>
      <c r="F33" s="7">
        <v>60409.05</v>
      </c>
      <c r="G33" s="7">
        <v>82414.12</v>
      </c>
      <c r="H33" s="7">
        <v>82414.12</v>
      </c>
    </row>
    <row r="34" spans="2:8" ht="16" thickBot="1">
      <c r="B34" s="4" t="s">
        <v>34</v>
      </c>
      <c r="C34" s="93">
        <v>4787.47</v>
      </c>
      <c r="D34" s="94"/>
      <c r="E34" s="6">
        <v>1</v>
      </c>
      <c r="F34" s="7">
        <v>60409.05</v>
      </c>
      <c r="G34" s="7">
        <v>82414.12</v>
      </c>
      <c r="H34" s="7">
        <v>82414.12</v>
      </c>
    </row>
    <row r="35" spans="2:8" ht="16" thickBot="1">
      <c r="B35" s="4" t="s">
        <v>35</v>
      </c>
      <c r="C35" s="93">
        <v>4787.47</v>
      </c>
      <c r="D35" s="94"/>
      <c r="E35" s="6">
        <v>1</v>
      </c>
      <c r="F35" s="7">
        <v>60409.05</v>
      </c>
      <c r="G35" s="7">
        <v>82414.12</v>
      </c>
      <c r="H35" s="7">
        <v>82414.12</v>
      </c>
    </row>
    <row r="36" spans="2:8" ht="16" thickBot="1">
      <c r="B36" s="4" t="s">
        <v>36</v>
      </c>
      <c r="C36" s="93">
        <v>4787.47</v>
      </c>
      <c r="D36" s="94"/>
      <c r="E36" s="6">
        <v>2</v>
      </c>
      <c r="F36" s="7">
        <v>120818.1</v>
      </c>
      <c r="G36" s="7">
        <v>164828.24</v>
      </c>
      <c r="H36" s="7">
        <v>164828.24</v>
      </c>
    </row>
    <row r="37" spans="2:8" ht="16" thickBot="1">
      <c r="B37" s="4" t="s">
        <v>37</v>
      </c>
      <c r="C37" s="93">
        <v>4787.47</v>
      </c>
      <c r="D37" s="94"/>
      <c r="E37" s="6">
        <v>1</v>
      </c>
      <c r="F37" s="7">
        <v>60409.05</v>
      </c>
      <c r="G37" s="7">
        <v>82414.12</v>
      </c>
      <c r="H37" s="7">
        <v>82414.12</v>
      </c>
    </row>
    <row r="38" spans="2:8" ht="16" thickBot="1">
      <c r="B38" s="4" t="s">
        <v>38</v>
      </c>
      <c r="C38" s="93">
        <v>4787.47</v>
      </c>
      <c r="D38" s="94"/>
      <c r="E38" s="6">
        <v>1</v>
      </c>
      <c r="F38" s="7">
        <v>60409.05</v>
      </c>
      <c r="G38" s="7">
        <v>82414.12</v>
      </c>
      <c r="H38" s="7">
        <v>82414.12</v>
      </c>
    </row>
    <row r="39" spans="2:8" ht="16" thickBot="1">
      <c r="B39" s="4" t="s">
        <v>39</v>
      </c>
      <c r="C39" s="93">
        <v>4787.47</v>
      </c>
      <c r="D39" s="94"/>
      <c r="E39" s="6">
        <v>1</v>
      </c>
      <c r="F39" s="7">
        <v>60409.05</v>
      </c>
      <c r="G39" s="7">
        <v>82414.12</v>
      </c>
      <c r="H39" s="7">
        <v>82414.12</v>
      </c>
    </row>
    <row r="40" spans="2:8" ht="18" thickBot="1">
      <c r="B40" s="11" t="s">
        <v>40</v>
      </c>
      <c r="C40" s="83">
        <v>120751.06</v>
      </c>
      <c r="D40" s="84"/>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5" t="s">
        <v>44</v>
      </c>
      <c r="B6" s="95"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9"/>
      <c r="B7" s="99"/>
      <c r="C7" s="95" t="s">
        <v>60</v>
      </c>
      <c r="D7" s="95" t="s">
        <v>61</v>
      </c>
      <c r="E7" s="95" t="s">
        <v>62</v>
      </c>
      <c r="F7" s="95" t="s">
        <v>63</v>
      </c>
      <c r="G7" s="95" t="s">
        <v>64</v>
      </c>
      <c r="H7" s="95" t="s">
        <v>65</v>
      </c>
      <c r="I7" s="95" t="s">
        <v>66</v>
      </c>
      <c r="J7" s="18" t="s">
        <v>67</v>
      </c>
      <c r="K7" s="18" t="s">
        <v>68</v>
      </c>
      <c r="L7" s="95" t="s">
        <v>69</v>
      </c>
      <c r="M7" s="95" t="s">
        <v>70</v>
      </c>
      <c r="N7" s="95" t="s">
        <v>71</v>
      </c>
      <c r="O7" s="95" t="s">
        <v>72</v>
      </c>
      <c r="P7" s="95" t="s">
        <v>73</v>
      </c>
    </row>
    <row r="8" spans="1:16" ht="18" thickBot="1">
      <c r="A8" s="96"/>
      <c r="B8" s="96"/>
      <c r="C8" s="96"/>
      <c r="D8" s="96"/>
      <c r="E8" s="96"/>
      <c r="F8" s="96"/>
      <c r="G8" s="96"/>
      <c r="H8" s="96"/>
      <c r="I8" s="96"/>
      <c r="J8" s="18" t="s">
        <v>74</v>
      </c>
      <c r="K8" s="18" t="s">
        <v>75</v>
      </c>
      <c r="L8" s="96"/>
      <c r="M8" s="96"/>
      <c r="N8" s="96"/>
      <c r="O8" s="96"/>
      <c r="P8" s="96"/>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7" t="s">
        <v>78</v>
      </c>
      <c r="B10" s="98"/>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5" t="s">
        <v>44</v>
      </c>
      <c r="B11" s="95"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9"/>
      <c r="B12" s="99"/>
      <c r="C12" s="95" t="s">
        <v>60</v>
      </c>
      <c r="D12" s="95" t="s">
        <v>61</v>
      </c>
      <c r="E12" s="95" t="s">
        <v>62</v>
      </c>
      <c r="F12" s="95" t="s">
        <v>63</v>
      </c>
      <c r="G12" s="95" t="s">
        <v>64</v>
      </c>
      <c r="H12" s="95" t="s">
        <v>65</v>
      </c>
      <c r="I12" s="95" t="s">
        <v>66</v>
      </c>
      <c r="J12" s="18" t="s">
        <v>67</v>
      </c>
      <c r="K12" s="18" t="s">
        <v>68</v>
      </c>
      <c r="L12" s="95" t="s">
        <v>69</v>
      </c>
      <c r="M12" s="95" t="s">
        <v>70</v>
      </c>
      <c r="N12" s="95" t="s">
        <v>71</v>
      </c>
      <c r="O12" s="95" t="s">
        <v>72</v>
      </c>
      <c r="P12" s="95" t="s">
        <v>73</v>
      </c>
    </row>
    <row r="13" spans="1:16" ht="18" thickBot="1">
      <c r="A13" s="96"/>
      <c r="B13" s="96"/>
      <c r="C13" s="96"/>
      <c r="D13" s="96"/>
      <c r="E13" s="96"/>
      <c r="F13" s="96"/>
      <c r="G13" s="96"/>
      <c r="H13" s="96"/>
      <c r="I13" s="96"/>
      <c r="J13" s="18" t="s">
        <v>74</v>
      </c>
      <c r="K13" s="18" t="s">
        <v>75</v>
      </c>
      <c r="L13" s="96"/>
      <c r="M13" s="96"/>
      <c r="N13" s="96"/>
      <c r="O13" s="96"/>
      <c r="P13" s="96"/>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7" t="s">
        <v>78</v>
      </c>
      <c r="B15" s="98"/>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5" t="s">
        <v>44</v>
      </c>
      <c r="B16" s="95"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9"/>
      <c r="B17" s="99"/>
      <c r="C17" s="95" t="s">
        <v>60</v>
      </c>
      <c r="D17" s="95" t="s">
        <v>61</v>
      </c>
      <c r="E17" s="95" t="s">
        <v>62</v>
      </c>
      <c r="F17" s="95" t="s">
        <v>63</v>
      </c>
      <c r="G17" s="95" t="s">
        <v>64</v>
      </c>
      <c r="H17" s="95" t="s">
        <v>65</v>
      </c>
      <c r="I17" s="95" t="s">
        <v>66</v>
      </c>
      <c r="J17" s="18" t="s">
        <v>67</v>
      </c>
      <c r="K17" s="18" t="s">
        <v>68</v>
      </c>
      <c r="L17" s="95" t="s">
        <v>69</v>
      </c>
      <c r="M17" s="95" t="s">
        <v>70</v>
      </c>
      <c r="N17" s="95" t="s">
        <v>71</v>
      </c>
      <c r="O17" s="95" t="s">
        <v>72</v>
      </c>
      <c r="P17" s="95" t="s">
        <v>73</v>
      </c>
    </row>
    <row r="18" spans="1:18" ht="18" thickBot="1">
      <c r="A18" s="96"/>
      <c r="B18" s="96"/>
      <c r="C18" s="96"/>
      <c r="D18" s="96"/>
      <c r="E18" s="96"/>
      <c r="F18" s="96"/>
      <c r="G18" s="96"/>
      <c r="H18" s="96"/>
      <c r="I18" s="96"/>
      <c r="J18" s="18" t="s">
        <v>74</v>
      </c>
      <c r="K18" s="18" t="s">
        <v>75</v>
      </c>
      <c r="L18" s="96"/>
      <c r="M18" s="96"/>
      <c r="N18" s="96"/>
      <c r="O18" s="96"/>
      <c r="P18" s="96"/>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100" t="s">
        <v>78</v>
      </c>
      <c r="B20" s="101"/>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5" t="s">
        <v>44</v>
      </c>
      <c r="B24" s="95"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9"/>
      <c r="B25" s="99"/>
      <c r="C25" s="95" t="s">
        <v>60</v>
      </c>
      <c r="D25" s="95" t="s">
        <v>61</v>
      </c>
      <c r="E25" s="95" t="s">
        <v>62</v>
      </c>
      <c r="F25" s="95" t="s">
        <v>63</v>
      </c>
      <c r="G25" s="95" t="s">
        <v>64</v>
      </c>
      <c r="H25" s="95" t="s">
        <v>65</v>
      </c>
      <c r="I25" s="95" t="s">
        <v>66</v>
      </c>
      <c r="J25" s="27" t="s">
        <v>67</v>
      </c>
      <c r="K25" s="95" t="s">
        <v>68</v>
      </c>
      <c r="L25" s="95" t="s">
        <v>69</v>
      </c>
      <c r="M25" s="95" t="s">
        <v>70</v>
      </c>
      <c r="N25" s="95" t="s">
        <v>71</v>
      </c>
      <c r="O25" s="95" t="s">
        <v>72</v>
      </c>
      <c r="P25" s="95" t="s">
        <v>73</v>
      </c>
      <c r="Q25" s="104"/>
      <c r="R25" s="105"/>
    </row>
    <row r="26" spans="1:18" ht="18" thickBot="1">
      <c r="A26" s="96"/>
      <c r="B26" s="96"/>
      <c r="C26" s="96"/>
      <c r="D26" s="96"/>
      <c r="E26" s="96"/>
      <c r="F26" s="96"/>
      <c r="G26" s="96"/>
      <c r="H26" s="96"/>
      <c r="I26" s="96"/>
      <c r="J26" s="28" t="s">
        <v>74</v>
      </c>
      <c r="K26" s="96"/>
      <c r="L26" s="96"/>
      <c r="M26" s="96"/>
      <c r="N26" s="96"/>
      <c r="O26" s="96"/>
      <c r="P26" s="96"/>
      <c r="Q26" s="104"/>
      <c r="R26" s="105"/>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7" t="s">
        <v>78</v>
      </c>
      <c r="B28" s="98"/>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5" t="s">
        <v>44</v>
      </c>
      <c r="B29" s="95"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102" t="s">
        <v>59</v>
      </c>
      <c r="Q29" s="103"/>
      <c r="R29" s="26"/>
    </row>
    <row r="30" spans="1:18" ht="17">
      <c r="A30" s="99"/>
      <c r="B30" s="99"/>
      <c r="C30" s="95" t="s">
        <v>60</v>
      </c>
      <c r="D30" s="95" t="s">
        <v>61</v>
      </c>
      <c r="E30" s="95" t="s">
        <v>62</v>
      </c>
      <c r="F30" s="95" t="s">
        <v>63</v>
      </c>
      <c r="G30" s="95" t="s">
        <v>64</v>
      </c>
      <c r="H30" s="95" t="s">
        <v>65</v>
      </c>
      <c r="I30" s="95" t="s">
        <v>66</v>
      </c>
      <c r="J30" s="27" t="s">
        <v>67</v>
      </c>
      <c r="K30" s="95" t="s">
        <v>68</v>
      </c>
      <c r="L30" s="95" t="s">
        <v>69</v>
      </c>
      <c r="M30" s="95" t="s">
        <v>70</v>
      </c>
      <c r="N30" s="95" t="s">
        <v>71</v>
      </c>
      <c r="O30" s="95" t="s">
        <v>72</v>
      </c>
      <c r="P30" s="106" t="s">
        <v>73</v>
      </c>
      <c r="Q30" s="107"/>
      <c r="R30" s="104"/>
    </row>
    <row r="31" spans="1:18" ht="18" thickBot="1">
      <c r="A31" s="96"/>
      <c r="B31" s="96"/>
      <c r="C31" s="96"/>
      <c r="D31" s="96"/>
      <c r="E31" s="96"/>
      <c r="F31" s="96"/>
      <c r="G31" s="96"/>
      <c r="H31" s="96"/>
      <c r="I31" s="96"/>
      <c r="J31" s="28" t="s">
        <v>74</v>
      </c>
      <c r="K31" s="96"/>
      <c r="L31" s="96"/>
      <c r="M31" s="96"/>
      <c r="N31" s="96"/>
      <c r="O31" s="96"/>
      <c r="P31" s="102"/>
      <c r="Q31" s="103"/>
      <c r="R31" s="104"/>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8">
        <v>173538.86</v>
      </c>
      <c r="Q32" s="109"/>
      <c r="R32" s="26"/>
    </row>
    <row r="33" spans="1:21" ht="18" thickBot="1">
      <c r="A33" s="97" t="s">
        <v>78</v>
      </c>
      <c r="B33" s="98"/>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8">
        <v>173538.86</v>
      </c>
      <c r="Q33" s="109"/>
      <c r="R33" s="26"/>
    </row>
    <row r="34" spans="1:21" ht="35" thickBot="1">
      <c r="A34" s="95" t="s">
        <v>44</v>
      </c>
      <c r="B34" s="95"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100" t="s">
        <v>59</v>
      </c>
      <c r="Q34" s="101"/>
      <c r="R34" s="26"/>
    </row>
    <row r="35" spans="1:21" ht="17">
      <c r="A35" s="99"/>
      <c r="B35" s="99"/>
      <c r="C35" s="95" t="s">
        <v>60</v>
      </c>
      <c r="D35" s="95" t="s">
        <v>61</v>
      </c>
      <c r="E35" s="95" t="s">
        <v>62</v>
      </c>
      <c r="F35" s="95" t="s">
        <v>63</v>
      </c>
      <c r="G35" s="95" t="s">
        <v>64</v>
      </c>
      <c r="H35" s="95" t="s">
        <v>65</v>
      </c>
      <c r="I35" s="95" t="s">
        <v>66</v>
      </c>
      <c r="J35" s="27" t="s">
        <v>67</v>
      </c>
      <c r="K35" s="95" t="s">
        <v>68</v>
      </c>
      <c r="L35" s="95" t="s">
        <v>69</v>
      </c>
      <c r="M35" s="95" t="s">
        <v>70</v>
      </c>
      <c r="N35" s="95" t="s">
        <v>71</v>
      </c>
      <c r="O35" s="95" t="s">
        <v>72</v>
      </c>
      <c r="P35" s="106" t="s">
        <v>73</v>
      </c>
      <c r="Q35" s="107"/>
      <c r="R35" s="104"/>
    </row>
    <row r="36" spans="1:21" ht="18" thickBot="1">
      <c r="A36" s="96"/>
      <c r="B36" s="96"/>
      <c r="C36" s="96"/>
      <c r="D36" s="96"/>
      <c r="E36" s="96"/>
      <c r="F36" s="96"/>
      <c r="G36" s="96"/>
      <c r="H36" s="96"/>
      <c r="I36" s="96"/>
      <c r="J36" s="28" t="s">
        <v>74</v>
      </c>
      <c r="K36" s="96"/>
      <c r="L36" s="96"/>
      <c r="M36" s="96"/>
      <c r="N36" s="96"/>
      <c r="O36" s="96"/>
      <c r="P36" s="102"/>
      <c r="Q36" s="103"/>
      <c r="R36" s="104"/>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8">
        <v>86769.43</v>
      </c>
      <c r="Q37" s="109"/>
      <c r="R37" s="26"/>
    </row>
    <row r="38" spans="1:21" ht="18" thickBot="1">
      <c r="A38" s="100" t="s">
        <v>78</v>
      </c>
      <c r="B38" s="101"/>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8">
        <v>86769.43</v>
      </c>
      <c r="Q38" s="109"/>
      <c r="R38" s="26"/>
    </row>
    <row r="39" spans="1:21">
      <c r="A39" s="32"/>
    </row>
    <row r="40" spans="1:21">
      <c r="A40" s="14"/>
    </row>
    <row r="41" spans="1:21">
      <c r="A41" s="16" t="s">
        <v>86</v>
      </c>
    </row>
    <row r="42" spans="1:21" ht="17" thickBot="1">
      <c r="A42" s="24"/>
    </row>
    <row r="43" spans="1:21" ht="35" thickBot="1">
      <c r="A43" s="95" t="s">
        <v>44</v>
      </c>
      <c r="B43" s="95"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100" t="s">
        <v>59</v>
      </c>
      <c r="Q43" s="101"/>
      <c r="R43" s="104"/>
      <c r="S43" s="105"/>
      <c r="T43" s="26"/>
      <c r="U43" s="26"/>
    </row>
    <row r="44" spans="1:21" ht="17">
      <c r="A44" s="99"/>
      <c r="B44" s="99"/>
      <c r="C44" s="95" t="s">
        <v>60</v>
      </c>
      <c r="D44" s="95" t="s">
        <v>61</v>
      </c>
      <c r="E44" s="95" t="s">
        <v>62</v>
      </c>
      <c r="F44" s="95" t="s">
        <v>63</v>
      </c>
      <c r="G44" s="95" t="s">
        <v>64</v>
      </c>
      <c r="H44" s="95" t="s">
        <v>65</v>
      </c>
      <c r="I44" s="95" t="s">
        <v>66</v>
      </c>
      <c r="J44" s="27" t="s">
        <v>67</v>
      </c>
      <c r="K44" s="95" t="s">
        <v>68</v>
      </c>
      <c r="L44" s="95" t="s">
        <v>69</v>
      </c>
      <c r="M44" s="95" t="s">
        <v>70</v>
      </c>
      <c r="N44" s="95" t="s">
        <v>71</v>
      </c>
      <c r="O44" s="95" t="s">
        <v>72</v>
      </c>
      <c r="P44" s="106" t="s">
        <v>73</v>
      </c>
      <c r="Q44" s="107"/>
      <c r="R44" s="104"/>
      <c r="S44" s="105"/>
      <c r="T44" s="105"/>
      <c r="U44" s="105"/>
    </row>
    <row r="45" spans="1:21" ht="18" thickBot="1">
      <c r="A45" s="96"/>
      <c r="B45" s="96"/>
      <c r="C45" s="96"/>
      <c r="D45" s="96"/>
      <c r="E45" s="96"/>
      <c r="F45" s="96"/>
      <c r="G45" s="96"/>
      <c r="H45" s="96"/>
      <c r="I45" s="96"/>
      <c r="J45" s="28" t="s">
        <v>74</v>
      </c>
      <c r="K45" s="96"/>
      <c r="L45" s="96"/>
      <c r="M45" s="96"/>
      <c r="N45" s="96"/>
      <c r="O45" s="96"/>
      <c r="P45" s="102"/>
      <c r="Q45" s="103"/>
      <c r="R45" s="104"/>
      <c r="S45" s="105"/>
      <c r="T45" s="105"/>
      <c r="U45" s="105"/>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8">
        <v>86769.43</v>
      </c>
      <c r="Q46" s="109"/>
      <c r="R46" s="104"/>
      <c r="S46" s="105"/>
      <c r="T46" s="26"/>
      <c r="U46" s="26"/>
    </row>
    <row r="47" spans="1:21" ht="18" thickBot="1">
      <c r="A47" s="97" t="s">
        <v>78</v>
      </c>
      <c r="B47" s="98"/>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8">
        <v>86769.43</v>
      </c>
      <c r="Q47" s="109"/>
      <c r="R47" s="104"/>
      <c r="S47" s="105"/>
      <c r="T47" s="105"/>
      <c r="U47" s="26"/>
    </row>
    <row r="48" spans="1:21" ht="35" thickBot="1">
      <c r="A48" s="95" t="s">
        <v>44</v>
      </c>
      <c r="B48" s="95"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102" t="s">
        <v>59</v>
      </c>
      <c r="Q48" s="113"/>
      <c r="R48" s="113"/>
      <c r="S48" s="113"/>
      <c r="T48" s="103"/>
      <c r="U48" s="26"/>
    </row>
    <row r="49" spans="1:21" ht="17">
      <c r="A49" s="99"/>
      <c r="B49" s="99"/>
      <c r="C49" s="95" t="s">
        <v>60</v>
      </c>
      <c r="D49" s="95" t="s">
        <v>61</v>
      </c>
      <c r="E49" s="95" t="s">
        <v>62</v>
      </c>
      <c r="F49" s="95" t="s">
        <v>63</v>
      </c>
      <c r="G49" s="95" t="s">
        <v>64</v>
      </c>
      <c r="H49" s="95" t="s">
        <v>65</v>
      </c>
      <c r="I49" s="95" t="s">
        <v>66</v>
      </c>
      <c r="J49" s="27" t="s">
        <v>67</v>
      </c>
      <c r="K49" s="95" t="s">
        <v>68</v>
      </c>
      <c r="L49" s="95" t="s">
        <v>69</v>
      </c>
      <c r="M49" s="95" t="s">
        <v>70</v>
      </c>
      <c r="N49" s="95" t="s">
        <v>71</v>
      </c>
      <c r="O49" s="95" t="s">
        <v>72</v>
      </c>
      <c r="P49" s="106" t="s">
        <v>73</v>
      </c>
      <c r="Q49" s="112"/>
      <c r="R49" s="112"/>
      <c r="S49" s="112"/>
      <c r="T49" s="107"/>
      <c r="U49" s="104"/>
    </row>
    <row r="50" spans="1:21" ht="18" thickBot="1">
      <c r="A50" s="96"/>
      <c r="B50" s="96"/>
      <c r="C50" s="96"/>
      <c r="D50" s="96"/>
      <c r="E50" s="96"/>
      <c r="F50" s="96"/>
      <c r="G50" s="96"/>
      <c r="H50" s="96"/>
      <c r="I50" s="96"/>
      <c r="J50" s="28" t="s">
        <v>74</v>
      </c>
      <c r="K50" s="96"/>
      <c r="L50" s="96"/>
      <c r="M50" s="96"/>
      <c r="N50" s="96"/>
      <c r="O50" s="96"/>
      <c r="P50" s="102"/>
      <c r="Q50" s="113"/>
      <c r="R50" s="113"/>
      <c r="S50" s="113"/>
      <c r="T50" s="103"/>
      <c r="U50" s="104"/>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8">
        <v>173538.86</v>
      </c>
      <c r="Q51" s="118"/>
      <c r="R51" s="118"/>
      <c r="S51" s="118"/>
      <c r="T51" s="109"/>
      <c r="U51" s="26"/>
    </row>
    <row r="52" spans="1:21" ht="18" thickBot="1">
      <c r="A52" s="97" t="s">
        <v>78</v>
      </c>
      <c r="B52" s="98"/>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20"/>
      <c r="R52" s="121"/>
      <c r="S52" s="26"/>
      <c r="T52" s="26"/>
      <c r="U52" s="26"/>
    </row>
    <row r="53" spans="1:21" ht="35" thickBot="1">
      <c r="A53" s="95" t="s">
        <v>44</v>
      </c>
      <c r="B53" s="95"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9"/>
      <c r="B54" s="99"/>
      <c r="C54" s="95" t="s">
        <v>60</v>
      </c>
      <c r="D54" s="95" t="s">
        <v>61</v>
      </c>
      <c r="E54" s="95" t="s">
        <v>62</v>
      </c>
      <c r="F54" s="95" t="s">
        <v>63</v>
      </c>
      <c r="G54" s="95" t="s">
        <v>64</v>
      </c>
      <c r="H54" s="95" t="s">
        <v>65</v>
      </c>
      <c r="I54" s="95" t="s">
        <v>66</v>
      </c>
      <c r="J54" s="27" t="s">
        <v>67</v>
      </c>
      <c r="K54" s="95" t="s">
        <v>68</v>
      </c>
      <c r="L54" s="95" t="s">
        <v>69</v>
      </c>
      <c r="M54" s="95" t="s">
        <v>70</v>
      </c>
      <c r="N54" s="95" t="s">
        <v>71</v>
      </c>
      <c r="O54" s="95" t="s">
        <v>72</v>
      </c>
      <c r="P54" s="95" t="s">
        <v>73</v>
      </c>
      <c r="Q54" s="104"/>
      <c r="R54" s="105"/>
      <c r="S54" s="105"/>
      <c r="T54" s="105"/>
      <c r="U54" s="105"/>
    </row>
    <row r="55" spans="1:21" ht="18" thickBot="1">
      <c r="A55" s="96"/>
      <c r="B55" s="96"/>
      <c r="C55" s="96"/>
      <c r="D55" s="96"/>
      <c r="E55" s="96"/>
      <c r="F55" s="96"/>
      <c r="G55" s="96"/>
      <c r="H55" s="96"/>
      <c r="I55" s="96"/>
      <c r="J55" s="28" t="s">
        <v>74</v>
      </c>
      <c r="K55" s="96"/>
      <c r="L55" s="96"/>
      <c r="M55" s="96"/>
      <c r="N55" s="96"/>
      <c r="O55" s="96"/>
      <c r="P55" s="96"/>
      <c r="Q55" s="104"/>
      <c r="R55" s="105"/>
      <c r="S55" s="105"/>
      <c r="T55" s="105"/>
      <c r="U55" s="105"/>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100" t="s">
        <v>78</v>
      </c>
      <c r="B57" s="101"/>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5" t="s">
        <v>44</v>
      </c>
      <c r="B63" s="95"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9"/>
      <c r="B64" s="99"/>
      <c r="C64" s="95" t="s">
        <v>60</v>
      </c>
      <c r="D64" s="95" t="s">
        <v>61</v>
      </c>
      <c r="E64" s="95" t="s">
        <v>62</v>
      </c>
      <c r="F64" s="95" t="s">
        <v>63</v>
      </c>
      <c r="G64" s="95" t="s">
        <v>64</v>
      </c>
      <c r="H64" s="95" t="s">
        <v>65</v>
      </c>
      <c r="I64" s="95" t="s">
        <v>66</v>
      </c>
      <c r="J64" s="27" t="s">
        <v>67</v>
      </c>
      <c r="K64" s="95" t="s">
        <v>68</v>
      </c>
      <c r="L64" s="95" t="s">
        <v>69</v>
      </c>
      <c r="M64" s="95" t="s">
        <v>70</v>
      </c>
      <c r="N64" s="95" t="s">
        <v>71</v>
      </c>
      <c r="O64" s="95" t="s">
        <v>72</v>
      </c>
      <c r="P64" s="95" t="s">
        <v>73</v>
      </c>
      <c r="Q64" s="104"/>
      <c r="R64" s="105"/>
    </row>
    <row r="65" spans="1:18" ht="18" thickBot="1">
      <c r="A65" s="96"/>
      <c r="B65" s="96"/>
      <c r="C65" s="96"/>
      <c r="D65" s="96"/>
      <c r="E65" s="96"/>
      <c r="F65" s="96"/>
      <c r="G65" s="96"/>
      <c r="H65" s="96"/>
      <c r="I65" s="96"/>
      <c r="J65" s="28" t="s">
        <v>74</v>
      </c>
      <c r="K65" s="96"/>
      <c r="L65" s="96"/>
      <c r="M65" s="96"/>
      <c r="N65" s="96"/>
      <c r="O65" s="96"/>
      <c r="P65" s="96"/>
      <c r="Q65" s="104"/>
      <c r="R65" s="105"/>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7" t="s">
        <v>78</v>
      </c>
      <c r="B67" s="98"/>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5" t="s">
        <v>44</v>
      </c>
      <c r="B68" s="95"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102" t="s">
        <v>59</v>
      </c>
      <c r="Q68" s="103"/>
      <c r="R68" s="26"/>
    </row>
    <row r="69" spans="1:18" ht="17">
      <c r="A69" s="99"/>
      <c r="B69" s="99"/>
      <c r="C69" s="95" t="s">
        <v>60</v>
      </c>
      <c r="D69" s="95" t="s">
        <v>61</v>
      </c>
      <c r="E69" s="95" t="s">
        <v>62</v>
      </c>
      <c r="F69" s="95" t="s">
        <v>63</v>
      </c>
      <c r="G69" s="95" t="s">
        <v>64</v>
      </c>
      <c r="H69" s="95" t="s">
        <v>65</v>
      </c>
      <c r="I69" s="95" t="s">
        <v>66</v>
      </c>
      <c r="J69" s="27" t="s">
        <v>67</v>
      </c>
      <c r="K69" s="95" t="s">
        <v>68</v>
      </c>
      <c r="L69" s="95" t="s">
        <v>69</v>
      </c>
      <c r="M69" s="95" t="s">
        <v>70</v>
      </c>
      <c r="N69" s="95" t="s">
        <v>71</v>
      </c>
      <c r="O69" s="95" t="s">
        <v>72</v>
      </c>
      <c r="P69" s="106" t="s">
        <v>73</v>
      </c>
      <c r="Q69" s="107"/>
      <c r="R69" s="104"/>
    </row>
    <row r="70" spans="1:18" ht="18" thickBot="1">
      <c r="A70" s="96"/>
      <c r="B70" s="96"/>
      <c r="C70" s="96"/>
      <c r="D70" s="96"/>
      <c r="E70" s="96"/>
      <c r="F70" s="96"/>
      <c r="G70" s="96"/>
      <c r="H70" s="96"/>
      <c r="I70" s="96"/>
      <c r="J70" s="28" t="s">
        <v>74</v>
      </c>
      <c r="K70" s="96"/>
      <c r="L70" s="96"/>
      <c r="M70" s="96"/>
      <c r="N70" s="96"/>
      <c r="O70" s="96"/>
      <c r="P70" s="102"/>
      <c r="Q70" s="103"/>
      <c r="R70" s="104"/>
    </row>
    <row r="71" spans="1:18" ht="17">
      <c r="A71" s="34" t="s">
        <v>83</v>
      </c>
      <c r="B71" s="95" t="s">
        <v>82</v>
      </c>
      <c r="C71" s="95">
        <v>4</v>
      </c>
      <c r="D71" s="110">
        <v>2182.59</v>
      </c>
      <c r="E71" s="110">
        <v>2604.88</v>
      </c>
      <c r="F71" s="110">
        <v>4787.47</v>
      </c>
      <c r="G71" s="110">
        <v>489.06</v>
      </c>
      <c r="H71" s="110">
        <v>1000</v>
      </c>
      <c r="I71" s="95" t="s">
        <v>77</v>
      </c>
      <c r="J71" s="110">
        <v>6276.53</v>
      </c>
      <c r="K71" s="110">
        <v>56488.77</v>
      </c>
      <c r="L71" s="110">
        <v>3590.6</v>
      </c>
      <c r="M71" s="95">
        <v>0</v>
      </c>
      <c r="N71" s="110">
        <v>329.68</v>
      </c>
      <c r="O71" s="110">
        <v>60409.05</v>
      </c>
      <c r="P71" s="114">
        <v>241636.2</v>
      </c>
      <c r="Q71" s="115"/>
      <c r="R71" s="104"/>
    </row>
    <row r="72" spans="1:18" ht="18" thickBot="1">
      <c r="A72" s="29" t="s">
        <v>84</v>
      </c>
      <c r="B72" s="96"/>
      <c r="C72" s="96"/>
      <c r="D72" s="111"/>
      <c r="E72" s="111"/>
      <c r="F72" s="111"/>
      <c r="G72" s="111"/>
      <c r="H72" s="111"/>
      <c r="I72" s="96"/>
      <c r="J72" s="111"/>
      <c r="K72" s="111"/>
      <c r="L72" s="111"/>
      <c r="M72" s="96"/>
      <c r="N72" s="111"/>
      <c r="O72" s="111"/>
      <c r="P72" s="116"/>
      <c r="Q72" s="117"/>
      <c r="R72" s="104"/>
    </row>
    <row r="73" spans="1:18" ht="18" thickBot="1">
      <c r="A73" s="97" t="s">
        <v>78</v>
      </c>
      <c r="B73" s="98"/>
      <c r="C73" s="28"/>
      <c r="D73" s="30">
        <v>2182.59</v>
      </c>
      <c r="E73" s="30">
        <v>2604.88</v>
      </c>
      <c r="F73" s="30">
        <v>4787.47</v>
      </c>
      <c r="G73" s="30">
        <v>489.06</v>
      </c>
      <c r="H73" s="30">
        <v>1000</v>
      </c>
      <c r="I73" s="28" t="s">
        <v>77</v>
      </c>
      <c r="J73" s="30">
        <v>6276.53</v>
      </c>
      <c r="K73" s="30">
        <v>56488.77</v>
      </c>
      <c r="L73" s="30">
        <v>3590.6</v>
      </c>
      <c r="M73" s="28">
        <v>0</v>
      </c>
      <c r="N73" s="30">
        <v>329.68</v>
      </c>
      <c r="O73" s="30">
        <v>60409.05</v>
      </c>
      <c r="P73" s="108">
        <v>241636.2</v>
      </c>
      <c r="Q73" s="109"/>
      <c r="R73" s="26"/>
    </row>
    <row r="74" spans="1:18" ht="35" thickBot="1">
      <c r="A74" s="95" t="s">
        <v>44</v>
      </c>
      <c r="B74" s="95"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102" t="s">
        <v>59</v>
      </c>
      <c r="Q74" s="113"/>
      <c r="R74" s="103"/>
    </row>
    <row r="75" spans="1:18" ht="17">
      <c r="A75" s="99"/>
      <c r="B75" s="99"/>
      <c r="C75" s="95" t="s">
        <v>60</v>
      </c>
      <c r="D75" s="95" t="s">
        <v>61</v>
      </c>
      <c r="E75" s="95" t="s">
        <v>62</v>
      </c>
      <c r="F75" s="95" t="s">
        <v>63</v>
      </c>
      <c r="G75" s="95" t="s">
        <v>64</v>
      </c>
      <c r="H75" s="95" t="s">
        <v>65</v>
      </c>
      <c r="I75" s="95" t="s">
        <v>66</v>
      </c>
      <c r="J75" s="27" t="s">
        <v>67</v>
      </c>
      <c r="K75" s="95" t="s">
        <v>68</v>
      </c>
      <c r="L75" s="95" t="s">
        <v>69</v>
      </c>
      <c r="M75" s="95" t="s">
        <v>70</v>
      </c>
      <c r="N75" s="95" t="s">
        <v>71</v>
      </c>
      <c r="O75" s="95" t="s">
        <v>72</v>
      </c>
      <c r="P75" s="106" t="s">
        <v>73</v>
      </c>
      <c r="Q75" s="112"/>
      <c r="R75" s="107"/>
    </row>
    <row r="76" spans="1:18" ht="18" thickBot="1">
      <c r="A76" s="96"/>
      <c r="B76" s="96"/>
      <c r="C76" s="96"/>
      <c r="D76" s="96"/>
      <c r="E76" s="96"/>
      <c r="F76" s="96"/>
      <c r="G76" s="96"/>
      <c r="H76" s="96"/>
      <c r="I76" s="96"/>
      <c r="J76" s="28" t="s">
        <v>74</v>
      </c>
      <c r="K76" s="96"/>
      <c r="L76" s="96"/>
      <c r="M76" s="96"/>
      <c r="N76" s="96"/>
      <c r="O76" s="96"/>
      <c r="P76" s="102"/>
      <c r="Q76" s="113"/>
      <c r="R76" s="103"/>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8">
        <v>60409.05</v>
      </c>
      <c r="Q77" s="118"/>
      <c r="R77" s="109"/>
    </row>
    <row r="78" spans="1:18" ht="18" thickBot="1">
      <c r="A78" s="100" t="s">
        <v>78</v>
      </c>
      <c r="B78" s="101"/>
      <c r="C78" s="28"/>
      <c r="D78" s="30">
        <v>2182.59</v>
      </c>
      <c r="E78" s="30">
        <v>2604.88</v>
      </c>
      <c r="F78" s="30">
        <v>4787.47</v>
      </c>
      <c r="G78" s="30">
        <v>489.06</v>
      </c>
      <c r="H78" s="30">
        <v>1000</v>
      </c>
      <c r="I78" s="28" t="s">
        <v>77</v>
      </c>
      <c r="J78" s="30">
        <v>6276.53</v>
      </c>
      <c r="K78" s="30">
        <v>56488.77</v>
      </c>
      <c r="L78" s="30">
        <v>3590.6</v>
      </c>
      <c r="M78" s="28">
        <v>0</v>
      </c>
      <c r="N78" s="30">
        <v>329.68</v>
      </c>
      <c r="O78" s="30">
        <v>60409.05</v>
      </c>
      <c r="P78" s="108">
        <v>60409.05</v>
      </c>
      <c r="Q78" s="118"/>
      <c r="R78" s="109"/>
    </row>
    <row r="79" spans="1:18" ht="35" thickBot="1">
      <c r="A79" s="95" t="s">
        <v>44</v>
      </c>
      <c r="B79" s="95"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100" t="s">
        <v>59</v>
      </c>
      <c r="Q79" s="119"/>
      <c r="R79" s="101"/>
    </row>
    <row r="80" spans="1:18" ht="17">
      <c r="A80" s="99"/>
      <c r="B80" s="99"/>
      <c r="C80" s="95" t="s">
        <v>60</v>
      </c>
      <c r="D80" s="95" t="s">
        <v>61</v>
      </c>
      <c r="E80" s="95" t="s">
        <v>62</v>
      </c>
      <c r="F80" s="95" t="s">
        <v>63</v>
      </c>
      <c r="G80" s="95" t="s">
        <v>64</v>
      </c>
      <c r="H80" s="95" t="s">
        <v>65</v>
      </c>
      <c r="I80" s="95" t="s">
        <v>66</v>
      </c>
      <c r="J80" s="27" t="s">
        <v>67</v>
      </c>
      <c r="K80" s="95" t="s">
        <v>68</v>
      </c>
      <c r="L80" s="95" t="s">
        <v>69</v>
      </c>
      <c r="M80" s="95" t="s">
        <v>70</v>
      </c>
      <c r="N80" s="95" t="s">
        <v>71</v>
      </c>
      <c r="O80" s="95" t="s">
        <v>72</v>
      </c>
      <c r="P80" s="106" t="s">
        <v>73</v>
      </c>
      <c r="Q80" s="112"/>
      <c r="R80" s="107"/>
    </row>
    <row r="81" spans="1:18" ht="18" thickBot="1">
      <c r="A81" s="96"/>
      <c r="B81" s="96"/>
      <c r="C81" s="96"/>
      <c r="D81" s="96"/>
      <c r="E81" s="96"/>
      <c r="F81" s="96"/>
      <c r="G81" s="96"/>
      <c r="H81" s="96"/>
      <c r="I81" s="96"/>
      <c r="J81" s="28" t="s">
        <v>74</v>
      </c>
      <c r="K81" s="96"/>
      <c r="L81" s="96"/>
      <c r="M81" s="96"/>
      <c r="N81" s="96"/>
      <c r="O81" s="96"/>
      <c r="P81" s="102"/>
      <c r="Q81" s="113"/>
      <c r="R81" s="103"/>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8">
        <v>906135.75</v>
      </c>
      <c r="Q82" s="118"/>
      <c r="R82" s="109"/>
    </row>
    <row r="83" spans="1:18" ht="18" thickBot="1">
      <c r="A83" s="97" t="s">
        <v>78</v>
      </c>
      <c r="B83" s="98"/>
      <c r="C83" s="28"/>
      <c r="D83" s="30">
        <v>2182.59</v>
      </c>
      <c r="E83" s="30">
        <v>2604.88</v>
      </c>
      <c r="F83" s="30">
        <v>4787.47</v>
      </c>
      <c r="G83" s="30">
        <v>489.06</v>
      </c>
      <c r="H83" s="30">
        <v>1000</v>
      </c>
      <c r="I83" s="28" t="s">
        <v>77</v>
      </c>
      <c r="J83" s="30">
        <v>6276.53</v>
      </c>
      <c r="K83" s="30">
        <v>56488.77</v>
      </c>
      <c r="L83" s="30">
        <v>3590.6</v>
      </c>
      <c r="M83" s="28">
        <v>0</v>
      </c>
      <c r="N83" s="30">
        <v>329.68</v>
      </c>
      <c r="O83" s="30">
        <v>60409.05</v>
      </c>
      <c r="P83" s="108">
        <v>906135.75</v>
      </c>
      <c r="Q83" s="118"/>
      <c r="R83" s="109"/>
    </row>
    <row r="84" spans="1:18">
      <c r="A84" s="16" t="s">
        <v>86</v>
      </c>
    </row>
    <row r="85" spans="1:18" ht="17" thickBot="1">
      <c r="A85" s="24"/>
    </row>
    <row r="86" spans="1:18" ht="35" thickBot="1">
      <c r="A86" s="95" t="s">
        <v>44</v>
      </c>
      <c r="B86" s="95"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9"/>
      <c r="B87" s="99"/>
      <c r="C87" s="95" t="s">
        <v>60</v>
      </c>
      <c r="D87" s="95" t="s">
        <v>61</v>
      </c>
      <c r="E87" s="95" t="s">
        <v>62</v>
      </c>
      <c r="F87" s="95" t="s">
        <v>63</v>
      </c>
      <c r="G87" s="95" t="s">
        <v>64</v>
      </c>
      <c r="H87" s="95" t="s">
        <v>65</v>
      </c>
      <c r="I87" s="95" t="s">
        <v>66</v>
      </c>
      <c r="J87" s="27" t="s">
        <v>67</v>
      </c>
      <c r="K87" s="95" t="s">
        <v>68</v>
      </c>
      <c r="L87" s="95" t="s">
        <v>69</v>
      </c>
      <c r="M87" s="95" t="s">
        <v>70</v>
      </c>
      <c r="N87" s="95" t="s">
        <v>71</v>
      </c>
      <c r="O87" s="95" t="s">
        <v>72</v>
      </c>
      <c r="P87" s="95" t="s">
        <v>73</v>
      </c>
      <c r="Q87" s="104"/>
      <c r="R87" s="105"/>
    </row>
    <row r="88" spans="1:18" ht="18" thickBot="1">
      <c r="A88" s="96"/>
      <c r="B88" s="96"/>
      <c r="C88" s="96"/>
      <c r="D88" s="96"/>
      <c r="E88" s="96"/>
      <c r="F88" s="96"/>
      <c r="G88" s="96"/>
      <c r="H88" s="96"/>
      <c r="I88" s="96"/>
      <c r="J88" s="28" t="s">
        <v>74</v>
      </c>
      <c r="K88" s="96"/>
      <c r="L88" s="96"/>
      <c r="M88" s="96"/>
      <c r="N88" s="96"/>
      <c r="O88" s="96"/>
      <c r="P88" s="96"/>
      <c r="Q88" s="104"/>
      <c r="R88" s="105"/>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7" t="s">
        <v>78</v>
      </c>
      <c r="B90" s="98"/>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5" t="s">
        <v>44</v>
      </c>
      <c r="B91" s="95"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102" t="s">
        <v>59</v>
      </c>
      <c r="Q91" s="103"/>
      <c r="R91" s="26"/>
    </row>
    <row r="92" spans="1:18" ht="17">
      <c r="A92" s="99"/>
      <c r="B92" s="99"/>
      <c r="C92" s="95" t="s">
        <v>60</v>
      </c>
      <c r="D92" s="95" t="s">
        <v>61</v>
      </c>
      <c r="E92" s="95" t="s">
        <v>62</v>
      </c>
      <c r="F92" s="95" t="s">
        <v>63</v>
      </c>
      <c r="G92" s="95" t="s">
        <v>64</v>
      </c>
      <c r="H92" s="95" t="s">
        <v>65</v>
      </c>
      <c r="I92" s="95" t="s">
        <v>66</v>
      </c>
      <c r="J92" s="27" t="s">
        <v>67</v>
      </c>
      <c r="K92" s="95" t="s">
        <v>68</v>
      </c>
      <c r="L92" s="95" t="s">
        <v>69</v>
      </c>
      <c r="M92" s="95" t="s">
        <v>70</v>
      </c>
      <c r="N92" s="95" t="s">
        <v>71</v>
      </c>
      <c r="O92" s="95" t="s">
        <v>72</v>
      </c>
      <c r="P92" s="106" t="s">
        <v>73</v>
      </c>
      <c r="Q92" s="107"/>
      <c r="R92" s="104"/>
    </row>
    <row r="93" spans="1:18" ht="18" thickBot="1">
      <c r="A93" s="96"/>
      <c r="B93" s="96"/>
      <c r="C93" s="96"/>
      <c r="D93" s="96"/>
      <c r="E93" s="96"/>
      <c r="F93" s="96"/>
      <c r="G93" s="96"/>
      <c r="H93" s="96"/>
      <c r="I93" s="96"/>
      <c r="J93" s="28" t="s">
        <v>74</v>
      </c>
      <c r="K93" s="96"/>
      <c r="L93" s="96"/>
      <c r="M93" s="96"/>
      <c r="N93" s="96"/>
      <c r="O93" s="96"/>
      <c r="P93" s="102"/>
      <c r="Q93" s="103"/>
      <c r="R93" s="104"/>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8">
        <v>60409.05</v>
      </c>
      <c r="Q94" s="109"/>
      <c r="R94" s="26"/>
    </row>
    <row r="95" spans="1:18" ht="18" thickBot="1">
      <c r="A95" s="97" t="s">
        <v>78</v>
      </c>
      <c r="B95" s="98"/>
      <c r="C95" s="28"/>
      <c r="D95" s="30">
        <v>2182.59</v>
      </c>
      <c r="E95" s="30">
        <v>2604.88</v>
      </c>
      <c r="F95" s="30">
        <v>4787.47</v>
      </c>
      <c r="G95" s="30">
        <v>489.06</v>
      </c>
      <c r="H95" s="30">
        <v>1000</v>
      </c>
      <c r="I95" s="28" t="s">
        <v>77</v>
      </c>
      <c r="J95" s="30">
        <v>6276.53</v>
      </c>
      <c r="K95" s="30">
        <v>56488.77</v>
      </c>
      <c r="L95" s="30">
        <v>3590.6</v>
      </c>
      <c r="M95" s="28">
        <v>0</v>
      </c>
      <c r="N95" s="30">
        <v>329.68</v>
      </c>
      <c r="O95" s="30">
        <v>60409.05</v>
      </c>
      <c r="P95" s="108">
        <v>60409.05</v>
      </c>
      <c r="Q95" s="109"/>
      <c r="R95" s="26"/>
    </row>
    <row r="96" spans="1:18" ht="35" thickBot="1">
      <c r="A96" s="95" t="s">
        <v>44</v>
      </c>
      <c r="B96" s="95"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102" t="s">
        <v>59</v>
      </c>
      <c r="Q96" s="113"/>
      <c r="R96" s="103"/>
    </row>
    <row r="97" spans="1:18" ht="17">
      <c r="A97" s="99"/>
      <c r="B97" s="99"/>
      <c r="C97" s="95" t="s">
        <v>60</v>
      </c>
      <c r="D97" s="95" t="s">
        <v>61</v>
      </c>
      <c r="E97" s="95" t="s">
        <v>62</v>
      </c>
      <c r="F97" s="95" t="s">
        <v>63</v>
      </c>
      <c r="G97" s="95" t="s">
        <v>64</v>
      </c>
      <c r="H97" s="95" t="s">
        <v>65</v>
      </c>
      <c r="I97" s="95" t="s">
        <v>66</v>
      </c>
      <c r="J97" s="27" t="s">
        <v>67</v>
      </c>
      <c r="K97" s="95" t="s">
        <v>68</v>
      </c>
      <c r="L97" s="95" t="s">
        <v>69</v>
      </c>
      <c r="M97" s="95" t="s">
        <v>70</v>
      </c>
      <c r="N97" s="95" t="s">
        <v>71</v>
      </c>
      <c r="O97" s="95" t="s">
        <v>72</v>
      </c>
      <c r="P97" s="106" t="s">
        <v>73</v>
      </c>
      <c r="Q97" s="112"/>
      <c r="R97" s="107"/>
    </row>
    <row r="98" spans="1:18" ht="18" thickBot="1">
      <c r="A98" s="96"/>
      <c r="B98" s="96"/>
      <c r="C98" s="96"/>
      <c r="D98" s="96"/>
      <c r="E98" s="96"/>
      <c r="F98" s="96"/>
      <c r="G98" s="96"/>
      <c r="H98" s="96"/>
      <c r="I98" s="96"/>
      <c r="J98" s="28" t="s">
        <v>74</v>
      </c>
      <c r="K98" s="96"/>
      <c r="L98" s="96"/>
      <c r="M98" s="96"/>
      <c r="N98" s="96"/>
      <c r="O98" s="96"/>
      <c r="P98" s="102"/>
      <c r="Q98" s="113"/>
      <c r="R98" s="103"/>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8">
        <v>60409.05</v>
      </c>
      <c r="Q99" s="118"/>
      <c r="R99" s="109"/>
    </row>
    <row r="100" spans="1:18" ht="18" thickBot="1">
      <c r="A100" s="100" t="s">
        <v>78</v>
      </c>
      <c r="B100" s="101"/>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8">
        <v>60409.05</v>
      </c>
      <c r="Q100" s="118"/>
      <c r="R100" s="109"/>
    </row>
    <row r="101" spans="1:18">
      <c r="A101" s="13"/>
    </row>
    <row r="102" spans="1:18">
      <c r="A102" s="13"/>
    </row>
    <row r="103" spans="1:18">
      <c r="A103" s="16" t="s">
        <v>86</v>
      </c>
    </row>
    <row r="104" spans="1:18" ht="17" thickBot="1">
      <c r="A104" s="24"/>
    </row>
    <row r="105" spans="1:18" ht="35" thickBot="1">
      <c r="A105" s="95" t="s">
        <v>44</v>
      </c>
      <c r="B105" s="95"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9"/>
      <c r="B106" s="99"/>
      <c r="C106" s="95" t="s">
        <v>60</v>
      </c>
      <c r="D106" s="95" t="s">
        <v>61</v>
      </c>
      <c r="E106" s="95" t="s">
        <v>62</v>
      </c>
      <c r="F106" s="95" t="s">
        <v>63</v>
      </c>
      <c r="G106" s="95" t="s">
        <v>64</v>
      </c>
      <c r="H106" s="95" t="s">
        <v>65</v>
      </c>
      <c r="I106" s="95" t="s">
        <v>66</v>
      </c>
      <c r="J106" s="27" t="s">
        <v>67</v>
      </c>
      <c r="K106" s="95" t="s">
        <v>68</v>
      </c>
      <c r="L106" s="95" t="s">
        <v>69</v>
      </c>
      <c r="M106" s="95" t="s">
        <v>70</v>
      </c>
      <c r="N106" s="95" t="s">
        <v>71</v>
      </c>
      <c r="O106" s="95" t="s">
        <v>72</v>
      </c>
      <c r="P106" s="95" t="s">
        <v>73</v>
      </c>
      <c r="Q106" s="104"/>
      <c r="R106" s="105"/>
    </row>
    <row r="107" spans="1:18" ht="18" thickBot="1">
      <c r="A107" s="96"/>
      <c r="B107" s="96"/>
      <c r="C107" s="96"/>
      <c r="D107" s="96"/>
      <c r="E107" s="96"/>
      <c r="F107" s="96"/>
      <c r="G107" s="96"/>
      <c r="H107" s="96"/>
      <c r="I107" s="96"/>
      <c r="J107" s="28" t="s">
        <v>74</v>
      </c>
      <c r="K107" s="96"/>
      <c r="L107" s="96"/>
      <c r="M107" s="96"/>
      <c r="N107" s="96"/>
      <c r="O107" s="96"/>
      <c r="P107" s="96"/>
      <c r="Q107" s="104"/>
      <c r="R107" s="105"/>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7" t="s">
        <v>78</v>
      </c>
      <c r="B109" s="98"/>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5" t="s">
        <v>44</v>
      </c>
      <c r="B110" s="95"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102" t="s">
        <v>59</v>
      </c>
      <c r="Q110" s="103"/>
      <c r="R110" s="26"/>
    </row>
    <row r="111" spans="1:18" ht="17">
      <c r="A111" s="99"/>
      <c r="B111" s="99"/>
      <c r="C111" s="95" t="s">
        <v>60</v>
      </c>
      <c r="D111" s="95" t="s">
        <v>61</v>
      </c>
      <c r="E111" s="95" t="s">
        <v>62</v>
      </c>
      <c r="F111" s="95" t="s">
        <v>63</v>
      </c>
      <c r="G111" s="95" t="s">
        <v>64</v>
      </c>
      <c r="H111" s="95" t="s">
        <v>65</v>
      </c>
      <c r="I111" s="95" t="s">
        <v>66</v>
      </c>
      <c r="J111" s="27" t="s">
        <v>67</v>
      </c>
      <c r="K111" s="95" t="s">
        <v>68</v>
      </c>
      <c r="L111" s="95" t="s">
        <v>69</v>
      </c>
      <c r="M111" s="95" t="s">
        <v>70</v>
      </c>
      <c r="N111" s="95" t="s">
        <v>71</v>
      </c>
      <c r="O111" s="95" t="s">
        <v>72</v>
      </c>
      <c r="P111" s="106" t="s">
        <v>73</v>
      </c>
      <c r="Q111" s="107"/>
      <c r="R111" s="104"/>
    </row>
    <row r="112" spans="1:18" ht="18" thickBot="1">
      <c r="A112" s="96"/>
      <c r="B112" s="96"/>
      <c r="C112" s="96"/>
      <c r="D112" s="96"/>
      <c r="E112" s="96"/>
      <c r="F112" s="96"/>
      <c r="G112" s="96"/>
      <c r="H112" s="96"/>
      <c r="I112" s="96"/>
      <c r="J112" s="28" t="s">
        <v>74</v>
      </c>
      <c r="K112" s="96"/>
      <c r="L112" s="96"/>
      <c r="M112" s="96"/>
      <c r="N112" s="96"/>
      <c r="O112" s="96"/>
      <c r="P112" s="102"/>
      <c r="Q112" s="103"/>
      <c r="R112" s="104"/>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8">
        <v>60409.05</v>
      </c>
      <c r="Q113" s="109"/>
      <c r="R113" s="26"/>
    </row>
    <row r="114" spans="1:18" ht="18" thickBot="1">
      <c r="A114" s="97" t="s">
        <v>78</v>
      </c>
      <c r="B114" s="98"/>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8">
        <v>60409.05</v>
      </c>
      <c r="Q114" s="109"/>
      <c r="R114" s="26"/>
    </row>
    <row r="115" spans="1:18" ht="35" thickBot="1">
      <c r="A115" s="95" t="s">
        <v>44</v>
      </c>
      <c r="B115" s="95"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102" t="s">
        <v>59</v>
      </c>
      <c r="Q115" s="113"/>
      <c r="R115" s="103"/>
    </row>
    <row r="116" spans="1:18" ht="17">
      <c r="A116" s="99"/>
      <c r="B116" s="99"/>
      <c r="C116" s="95" t="s">
        <v>60</v>
      </c>
      <c r="D116" s="95" t="s">
        <v>61</v>
      </c>
      <c r="E116" s="95" t="s">
        <v>62</v>
      </c>
      <c r="F116" s="95" t="s">
        <v>63</v>
      </c>
      <c r="G116" s="95" t="s">
        <v>64</v>
      </c>
      <c r="H116" s="95" t="s">
        <v>65</v>
      </c>
      <c r="I116" s="95" t="s">
        <v>66</v>
      </c>
      <c r="J116" s="27" t="s">
        <v>67</v>
      </c>
      <c r="K116" s="95" t="s">
        <v>68</v>
      </c>
      <c r="L116" s="95" t="s">
        <v>69</v>
      </c>
      <c r="M116" s="95" t="s">
        <v>70</v>
      </c>
      <c r="N116" s="95" t="s">
        <v>71</v>
      </c>
      <c r="O116" s="95" t="s">
        <v>72</v>
      </c>
      <c r="P116" s="106" t="s">
        <v>73</v>
      </c>
      <c r="Q116" s="112"/>
      <c r="R116" s="107"/>
    </row>
    <row r="117" spans="1:18" ht="18" thickBot="1">
      <c r="A117" s="96"/>
      <c r="B117" s="96"/>
      <c r="C117" s="96"/>
      <c r="D117" s="96"/>
      <c r="E117" s="96"/>
      <c r="F117" s="96"/>
      <c r="G117" s="96"/>
      <c r="H117" s="96"/>
      <c r="I117" s="96"/>
      <c r="J117" s="28" t="s">
        <v>74</v>
      </c>
      <c r="K117" s="96"/>
      <c r="L117" s="96"/>
      <c r="M117" s="96"/>
      <c r="N117" s="96"/>
      <c r="O117" s="96"/>
      <c r="P117" s="102"/>
      <c r="Q117" s="113"/>
      <c r="R117" s="103"/>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8">
        <v>120818.1</v>
      </c>
      <c r="Q118" s="118"/>
      <c r="R118" s="109"/>
    </row>
    <row r="119" spans="1:18" ht="18" thickBot="1">
      <c r="A119" s="100" t="s">
        <v>78</v>
      </c>
      <c r="B119" s="101"/>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8">
        <v>120818.1</v>
      </c>
      <c r="Q119" s="118"/>
      <c r="R119" s="109"/>
    </row>
    <row r="120" spans="1:18">
      <c r="A120" s="33"/>
    </row>
    <row r="121" spans="1:18">
      <c r="A121" s="33"/>
    </row>
    <row r="122" spans="1:18">
      <c r="A122" s="16" t="s">
        <v>86</v>
      </c>
    </row>
    <row r="123" spans="1:18" ht="17" thickBot="1">
      <c r="A123" s="16"/>
    </row>
    <row r="124" spans="1:18" ht="35" thickBot="1">
      <c r="A124" s="95" t="s">
        <v>44</v>
      </c>
      <c r="B124" s="95"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9"/>
      <c r="B125" s="99"/>
      <c r="C125" s="95" t="s">
        <v>60</v>
      </c>
      <c r="D125" s="95" t="s">
        <v>61</v>
      </c>
      <c r="E125" s="95" t="s">
        <v>62</v>
      </c>
      <c r="F125" s="95" t="s">
        <v>63</v>
      </c>
      <c r="G125" s="95" t="s">
        <v>64</v>
      </c>
      <c r="H125" s="95" t="s">
        <v>65</v>
      </c>
      <c r="I125" s="95" t="s">
        <v>66</v>
      </c>
      <c r="J125" s="27" t="s">
        <v>67</v>
      </c>
      <c r="K125" s="95" t="s">
        <v>68</v>
      </c>
      <c r="L125" s="95" t="s">
        <v>69</v>
      </c>
      <c r="M125" s="95" t="s">
        <v>70</v>
      </c>
      <c r="N125" s="95" t="s">
        <v>71</v>
      </c>
      <c r="O125" s="95" t="s">
        <v>72</v>
      </c>
      <c r="P125" s="95" t="s">
        <v>73</v>
      </c>
      <c r="Q125" s="104"/>
      <c r="R125" s="105"/>
    </row>
    <row r="126" spans="1:18" ht="18" thickBot="1">
      <c r="A126" s="96"/>
      <c r="B126" s="96"/>
      <c r="C126" s="96"/>
      <c r="D126" s="96"/>
      <c r="E126" s="96"/>
      <c r="F126" s="96"/>
      <c r="G126" s="96"/>
      <c r="H126" s="96"/>
      <c r="I126" s="96"/>
      <c r="J126" s="28" t="s">
        <v>74</v>
      </c>
      <c r="K126" s="96"/>
      <c r="L126" s="96"/>
      <c r="M126" s="96"/>
      <c r="N126" s="96"/>
      <c r="O126" s="96"/>
      <c r="P126" s="96"/>
      <c r="Q126" s="104"/>
      <c r="R126" s="105"/>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7" t="s">
        <v>78</v>
      </c>
      <c r="B128" s="98"/>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5" t="s">
        <v>44</v>
      </c>
      <c r="B129" s="95"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102" t="s">
        <v>59</v>
      </c>
      <c r="Q129" s="103"/>
      <c r="R129" s="26"/>
    </row>
    <row r="130" spans="1:18" ht="17">
      <c r="A130" s="99"/>
      <c r="B130" s="99"/>
      <c r="C130" s="95" t="s">
        <v>60</v>
      </c>
      <c r="D130" s="95" t="s">
        <v>61</v>
      </c>
      <c r="E130" s="95" t="s">
        <v>62</v>
      </c>
      <c r="F130" s="95" t="s">
        <v>63</v>
      </c>
      <c r="G130" s="95" t="s">
        <v>64</v>
      </c>
      <c r="H130" s="95" t="s">
        <v>65</v>
      </c>
      <c r="I130" s="95" t="s">
        <v>66</v>
      </c>
      <c r="J130" s="27" t="s">
        <v>67</v>
      </c>
      <c r="K130" s="95" t="s">
        <v>68</v>
      </c>
      <c r="L130" s="95" t="s">
        <v>69</v>
      </c>
      <c r="M130" s="95" t="s">
        <v>70</v>
      </c>
      <c r="N130" s="95" t="s">
        <v>71</v>
      </c>
      <c r="O130" s="95" t="s">
        <v>72</v>
      </c>
      <c r="P130" s="106" t="s">
        <v>73</v>
      </c>
      <c r="Q130" s="107"/>
      <c r="R130" s="104"/>
    </row>
    <row r="131" spans="1:18" ht="18" thickBot="1">
      <c r="A131" s="96"/>
      <c r="B131" s="96"/>
      <c r="C131" s="96"/>
      <c r="D131" s="96"/>
      <c r="E131" s="96"/>
      <c r="F131" s="96"/>
      <c r="G131" s="96"/>
      <c r="H131" s="96"/>
      <c r="I131" s="96"/>
      <c r="J131" s="28" t="s">
        <v>74</v>
      </c>
      <c r="K131" s="96"/>
      <c r="L131" s="96"/>
      <c r="M131" s="96"/>
      <c r="N131" s="96"/>
      <c r="O131" s="96"/>
      <c r="P131" s="102"/>
      <c r="Q131" s="103"/>
      <c r="R131" s="104"/>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8">
        <v>60409.05</v>
      </c>
      <c r="Q132" s="109"/>
      <c r="R132" s="26"/>
    </row>
    <row r="133" spans="1:18" ht="18" thickBot="1">
      <c r="A133" s="97" t="s">
        <v>78</v>
      </c>
      <c r="B133" s="98"/>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8">
        <v>60409.05</v>
      </c>
      <c r="Q133" s="109"/>
      <c r="R133" s="26"/>
    </row>
    <row r="134" spans="1:18" ht="35" thickBot="1">
      <c r="A134" s="95" t="s">
        <v>44</v>
      </c>
      <c r="B134" s="95"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102" t="s">
        <v>59</v>
      </c>
      <c r="Q134" s="113"/>
      <c r="R134" s="103"/>
    </row>
    <row r="135" spans="1:18" ht="17">
      <c r="A135" s="99"/>
      <c r="B135" s="99"/>
      <c r="C135" s="95" t="s">
        <v>60</v>
      </c>
      <c r="D135" s="95" t="s">
        <v>61</v>
      </c>
      <c r="E135" s="95" t="s">
        <v>62</v>
      </c>
      <c r="F135" s="95" t="s">
        <v>63</v>
      </c>
      <c r="G135" s="95" t="s">
        <v>64</v>
      </c>
      <c r="H135" s="95" t="s">
        <v>65</v>
      </c>
      <c r="I135" s="95" t="s">
        <v>66</v>
      </c>
      <c r="J135" s="27" t="s">
        <v>67</v>
      </c>
      <c r="K135" s="95" t="s">
        <v>68</v>
      </c>
      <c r="L135" s="95" t="s">
        <v>69</v>
      </c>
      <c r="M135" s="95" t="s">
        <v>70</v>
      </c>
      <c r="N135" s="95" t="s">
        <v>71</v>
      </c>
      <c r="O135" s="95" t="s">
        <v>72</v>
      </c>
      <c r="P135" s="106" t="s">
        <v>73</v>
      </c>
      <c r="Q135" s="112"/>
      <c r="R135" s="107"/>
    </row>
    <row r="136" spans="1:18" ht="18" thickBot="1">
      <c r="A136" s="96"/>
      <c r="B136" s="96"/>
      <c r="C136" s="96"/>
      <c r="D136" s="96"/>
      <c r="E136" s="96"/>
      <c r="F136" s="96"/>
      <c r="G136" s="96"/>
      <c r="H136" s="96"/>
      <c r="I136" s="96"/>
      <c r="J136" s="28" t="s">
        <v>74</v>
      </c>
      <c r="K136" s="96"/>
      <c r="L136" s="96"/>
      <c r="M136" s="96"/>
      <c r="N136" s="96"/>
      <c r="O136" s="96"/>
      <c r="P136" s="102"/>
      <c r="Q136" s="113"/>
      <c r="R136" s="103"/>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8">
        <v>60409.05</v>
      </c>
      <c r="Q137" s="118"/>
      <c r="R137" s="109"/>
    </row>
    <row r="138" spans="1:18" ht="18" thickBot="1">
      <c r="A138" s="100" t="s">
        <v>78</v>
      </c>
      <c r="B138" s="101"/>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8">
        <v>60409.05</v>
      </c>
      <c r="Q138" s="118"/>
      <c r="R138" s="109"/>
    </row>
    <row r="139" spans="1:18">
      <c r="A139" s="13"/>
    </row>
    <row r="140" spans="1:18">
      <c r="A140" s="13"/>
    </row>
    <row r="141" spans="1:18">
      <c r="A141" s="16" t="s">
        <v>86</v>
      </c>
    </row>
    <row r="142" spans="1:18" ht="17" thickBot="1">
      <c r="A142" s="33"/>
    </row>
    <row r="143" spans="1:18" ht="35" thickBot="1">
      <c r="A143" s="95" t="s">
        <v>44</v>
      </c>
      <c r="B143" s="95"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9"/>
      <c r="B144" s="99"/>
      <c r="C144" s="95" t="s">
        <v>60</v>
      </c>
      <c r="D144" s="95" t="s">
        <v>61</v>
      </c>
      <c r="E144" s="95" t="s">
        <v>62</v>
      </c>
      <c r="F144" s="95" t="s">
        <v>63</v>
      </c>
      <c r="G144" s="95" t="s">
        <v>64</v>
      </c>
      <c r="H144" s="95" t="s">
        <v>65</v>
      </c>
      <c r="I144" s="95" t="s">
        <v>66</v>
      </c>
      <c r="J144" s="27" t="s">
        <v>67</v>
      </c>
      <c r="K144" s="95" t="s">
        <v>68</v>
      </c>
      <c r="L144" s="95" t="s">
        <v>69</v>
      </c>
      <c r="M144" s="95" t="s">
        <v>70</v>
      </c>
      <c r="N144" s="95" t="s">
        <v>71</v>
      </c>
      <c r="O144" s="95" t="s">
        <v>72</v>
      </c>
      <c r="P144" s="95" t="s">
        <v>73</v>
      </c>
      <c r="Q144" s="104"/>
      <c r="R144" s="105"/>
    </row>
    <row r="145" spans="1:18" ht="18" thickBot="1">
      <c r="A145" s="96"/>
      <c r="B145" s="96"/>
      <c r="C145" s="96"/>
      <c r="D145" s="96"/>
      <c r="E145" s="96"/>
      <c r="F145" s="96"/>
      <c r="G145" s="96"/>
      <c r="H145" s="96"/>
      <c r="I145" s="96"/>
      <c r="J145" s="28" t="s">
        <v>74</v>
      </c>
      <c r="K145" s="96"/>
      <c r="L145" s="96"/>
      <c r="M145" s="96"/>
      <c r="N145" s="96"/>
      <c r="O145" s="96"/>
      <c r="P145" s="96"/>
      <c r="Q145" s="104"/>
      <c r="R145" s="105"/>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7" t="s">
        <v>78</v>
      </c>
      <c r="B147" s="98"/>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5" t="s">
        <v>44</v>
      </c>
      <c r="B148" s="95"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102" t="s">
        <v>59</v>
      </c>
      <c r="Q148" s="103"/>
      <c r="R148" s="26"/>
    </row>
    <row r="149" spans="1:18" ht="17">
      <c r="A149" s="99"/>
      <c r="B149" s="99"/>
      <c r="C149" s="95" t="s">
        <v>60</v>
      </c>
      <c r="D149" s="95" t="s">
        <v>61</v>
      </c>
      <c r="E149" s="95" t="s">
        <v>62</v>
      </c>
      <c r="F149" s="95" t="s">
        <v>63</v>
      </c>
      <c r="G149" s="95" t="s">
        <v>64</v>
      </c>
      <c r="H149" s="95" t="s">
        <v>65</v>
      </c>
      <c r="I149" s="95" t="s">
        <v>66</v>
      </c>
      <c r="J149" s="27" t="s">
        <v>67</v>
      </c>
      <c r="K149" s="95" t="s">
        <v>68</v>
      </c>
      <c r="L149" s="95" t="s">
        <v>69</v>
      </c>
      <c r="M149" s="95" t="s">
        <v>70</v>
      </c>
      <c r="N149" s="95" t="s">
        <v>71</v>
      </c>
      <c r="O149" s="95" t="s">
        <v>72</v>
      </c>
      <c r="P149" s="106" t="s">
        <v>73</v>
      </c>
      <c r="Q149" s="107"/>
      <c r="R149" s="104"/>
    </row>
    <row r="150" spans="1:18" ht="18" thickBot="1">
      <c r="A150" s="96"/>
      <c r="B150" s="96"/>
      <c r="C150" s="96"/>
      <c r="D150" s="96"/>
      <c r="E150" s="96"/>
      <c r="F150" s="96"/>
      <c r="G150" s="96"/>
      <c r="H150" s="96"/>
      <c r="I150" s="96"/>
      <c r="J150" s="28" t="s">
        <v>74</v>
      </c>
      <c r="K150" s="96"/>
      <c r="L150" s="96"/>
      <c r="M150" s="96"/>
      <c r="N150" s="96"/>
      <c r="O150" s="96"/>
      <c r="P150" s="102"/>
      <c r="Q150" s="103"/>
      <c r="R150" s="104"/>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8">
        <v>69582.94</v>
      </c>
      <c r="Q151" s="109"/>
      <c r="R151" s="26"/>
    </row>
    <row r="152" spans="1:18" ht="18" thickBot="1">
      <c r="A152" s="97" t="s">
        <v>78</v>
      </c>
      <c r="B152" s="98"/>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8">
        <v>69582.94</v>
      </c>
      <c r="Q152" s="109"/>
      <c r="R152" s="26"/>
    </row>
    <row r="153" spans="1:18" ht="35" thickBot="1">
      <c r="A153" s="95" t="s">
        <v>44</v>
      </c>
      <c r="B153" s="95"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102" t="s">
        <v>59</v>
      </c>
      <c r="Q153" s="113"/>
      <c r="R153" s="103"/>
    </row>
    <row r="154" spans="1:18" ht="17">
      <c r="A154" s="99"/>
      <c r="B154" s="99"/>
      <c r="C154" s="95" t="s">
        <v>60</v>
      </c>
      <c r="D154" s="95" t="s">
        <v>61</v>
      </c>
      <c r="E154" s="95" t="s">
        <v>62</v>
      </c>
      <c r="F154" s="95" t="s">
        <v>63</v>
      </c>
      <c r="G154" s="95" t="s">
        <v>64</v>
      </c>
      <c r="H154" s="95" t="s">
        <v>65</v>
      </c>
      <c r="I154" s="95" t="s">
        <v>66</v>
      </c>
      <c r="J154" s="27" t="s">
        <v>67</v>
      </c>
      <c r="K154" s="95" t="s">
        <v>68</v>
      </c>
      <c r="L154" s="95" t="s">
        <v>69</v>
      </c>
      <c r="M154" s="95" t="s">
        <v>70</v>
      </c>
      <c r="N154" s="95" t="s">
        <v>71</v>
      </c>
      <c r="O154" s="95" t="s">
        <v>72</v>
      </c>
      <c r="P154" s="106" t="s">
        <v>73</v>
      </c>
      <c r="Q154" s="112"/>
      <c r="R154" s="107"/>
    </row>
    <row r="155" spans="1:18" ht="18" thickBot="1">
      <c r="A155" s="96"/>
      <c r="B155" s="96"/>
      <c r="C155" s="96"/>
      <c r="D155" s="96"/>
      <c r="E155" s="96"/>
      <c r="F155" s="96"/>
      <c r="G155" s="96"/>
      <c r="H155" s="96"/>
      <c r="I155" s="96"/>
      <c r="J155" s="28" t="s">
        <v>74</v>
      </c>
      <c r="K155" s="96"/>
      <c r="L155" s="96"/>
      <c r="M155" s="96"/>
      <c r="N155" s="96"/>
      <c r="O155" s="96"/>
      <c r="P155" s="102"/>
      <c r="Q155" s="113"/>
      <c r="R155" s="103"/>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8">
        <v>69582.94</v>
      </c>
      <c r="Q156" s="118"/>
      <c r="R156" s="109"/>
    </row>
    <row r="157" spans="1:18" ht="18" thickBot="1">
      <c r="A157" s="100" t="s">
        <v>78</v>
      </c>
      <c r="B157" s="101"/>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8">
        <v>69582.94</v>
      </c>
      <c r="Q157" s="118"/>
      <c r="R157" s="109"/>
    </row>
    <row r="158" spans="1:18" ht="35" thickBot="1">
      <c r="A158" s="95" t="s">
        <v>44</v>
      </c>
      <c r="B158" s="95"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100" t="s">
        <v>59</v>
      </c>
      <c r="Q158" s="119"/>
      <c r="R158" s="101"/>
    </row>
    <row r="159" spans="1:18" ht="17">
      <c r="A159" s="99"/>
      <c r="B159" s="99"/>
      <c r="C159" s="95" t="s">
        <v>60</v>
      </c>
      <c r="D159" s="95" t="s">
        <v>61</v>
      </c>
      <c r="E159" s="95" t="s">
        <v>62</v>
      </c>
      <c r="F159" s="95" t="s">
        <v>63</v>
      </c>
      <c r="G159" s="95" t="s">
        <v>64</v>
      </c>
      <c r="H159" s="95" t="s">
        <v>65</v>
      </c>
      <c r="I159" s="95" t="s">
        <v>66</v>
      </c>
      <c r="J159" s="27" t="s">
        <v>67</v>
      </c>
      <c r="K159" s="95" t="s">
        <v>68</v>
      </c>
      <c r="L159" s="95" t="s">
        <v>69</v>
      </c>
      <c r="M159" s="95" t="s">
        <v>70</v>
      </c>
      <c r="N159" s="95" t="s">
        <v>71</v>
      </c>
      <c r="O159" s="95" t="s">
        <v>72</v>
      </c>
      <c r="P159" s="106" t="s">
        <v>73</v>
      </c>
      <c r="Q159" s="112"/>
      <c r="R159" s="107"/>
    </row>
    <row r="160" spans="1:18" ht="18" thickBot="1">
      <c r="A160" s="96"/>
      <c r="B160" s="96"/>
      <c r="C160" s="96"/>
      <c r="D160" s="96"/>
      <c r="E160" s="96"/>
      <c r="F160" s="96"/>
      <c r="G160" s="96"/>
      <c r="H160" s="96"/>
      <c r="I160" s="96"/>
      <c r="J160" s="28" t="s">
        <v>74</v>
      </c>
      <c r="K160" s="96"/>
      <c r="L160" s="96"/>
      <c r="M160" s="96"/>
      <c r="N160" s="96"/>
      <c r="O160" s="96"/>
      <c r="P160" s="102"/>
      <c r="Q160" s="113"/>
      <c r="R160" s="103"/>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8">
        <v>69582.94</v>
      </c>
      <c r="Q161" s="118"/>
      <c r="R161" s="109"/>
    </row>
    <row r="162" spans="1:18" ht="18" thickBot="1">
      <c r="A162" s="97" t="s">
        <v>78</v>
      </c>
      <c r="B162" s="98"/>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8">
        <v>69582.94</v>
      </c>
      <c r="Q162" s="118"/>
      <c r="R162" s="109"/>
    </row>
    <row r="163" spans="1:18">
      <c r="A163" s="33"/>
    </row>
    <row r="164" spans="1:18">
      <c r="A164" s="33"/>
    </row>
    <row r="165" spans="1:18">
      <c r="A165" s="16" t="s">
        <v>86</v>
      </c>
    </row>
    <row r="166" spans="1:18" ht="17" thickBot="1">
      <c r="A166" s="33"/>
    </row>
    <row r="167" spans="1:18" ht="35" thickBot="1">
      <c r="A167" s="95" t="s">
        <v>44</v>
      </c>
      <c r="B167" s="95"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9"/>
      <c r="B168" s="99"/>
      <c r="C168" s="95" t="s">
        <v>60</v>
      </c>
      <c r="D168" s="95" t="s">
        <v>61</v>
      </c>
      <c r="E168" s="95" t="s">
        <v>62</v>
      </c>
      <c r="F168" s="95" t="s">
        <v>63</v>
      </c>
      <c r="G168" s="95" t="s">
        <v>64</v>
      </c>
      <c r="H168" s="95" t="s">
        <v>65</v>
      </c>
      <c r="I168" s="95" t="s">
        <v>66</v>
      </c>
      <c r="J168" s="27" t="s">
        <v>67</v>
      </c>
      <c r="K168" s="95" t="s">
        <v>68</v>
      </c>
      <c r="L168" s="95" t="s">
        <v>69</v>
      </c>
      <c r="M168" s="95" t="s">
        <v>70</v>
      </c>
      <c r="N168" s="95" t="s">
        <v>71</v>
      </c>
      <c r="O168" s="95" t="s">
        <v>72</v>
      </c>
      <c r="P168" s="95" t="s">
        <v>73</v>
      </c>
      <c r="Q168" s="104"/>
      <c r="R168" s="105"/>
    </row>
    <row r="169" spans="1:18" ht="18" thickBot="1">
      <c r="A169" s="96"/>
      <c r="B169" s="96"/>
      <c r="C169" s="96"/>
      <c r="D169" s="96"/>
      <c r="E169" s="96"/>
      <c r="F169" s="96"/>
      <c r="G169" s="96"/>
      <c r="H169" s="96"/>
      <c r="I169" s="96"/>
      <c r="J169" s="28" t="s">
        <v>74</v>
      </c>
      <c r="K169" s="96"/>
      <c r="L169" s="96"/>
      <c r="M169" s="96"/>
      <c r="N169" s="96"/>
      <c r="O169" s="96"/>
      <c r="P169" s="96"/>
      <c r="Q169" s="104"/>
      <c r="R169" s="105"/>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7" t="s">
        <v>78</v>
      </c>
      <c r="B171" s="98"/>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5" t="s">
        <v>44</v>
      </c>
      <c r="B172" s="95"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102" t="s">
        <v>59</v>
      </c>
      <c r="Q172" s="103"/>
      <c r="R172" s="26"/>
    </row>
    <row r="173" spans="1:18" ht="17">
      <c r="A173" s="99"/>
      <c r="B173" s="99"/>
      <c r="C173" s="95" t="s">
        <v>60</v>
      </c>
      <c r="D173" s="95" t="s">
        <v>61</v>
      </c>
      <c r="E173" s="95" t="s">
        <v>62</v>
      </c>
      <c r="F173" s="95" t="s">
        <v>63</v>
      </c>
      <c r="G173" s="95" t="s">
        <v>64</v>
      </c>
      <c r="H173" s="95" t="s">
        <v>65</v>
      </c>
      <c r="I173" s="95" t="s">
        <v>66</v>
      </c>
      <c r="J173" s="27" t="s">
        <v>67</v>
      </c>
      <c r="K173" s="95" t="s">
        <v>68</v>
      </c>
      <c r="L173" s="95" t="s">
        <v>69</v>
      </c>
      <c r="M173" s="95" t="s">
        <v>70</v>
      </c>
      <c r="N173" s="95" t="s">
        <v>71</v>
      </c>
      <c r="O173" s="95" t="s">
        <v>72</v>
      </c>
      <c r="P173" s="106" t="s">
        <v>73</v>
      </c>
      <c r="Q173" s="107"/>
      <c r="R173" s="104"/>
    </row>
    <row r="174" spans="1:18" ht="18" thickBot="1">
      <c r="A174" s="96"/>
      <c r="B174" s="96"/>
      <c r="C174" s="96"/>
      <c r="D174" s="96"/>
      <c r="E174" s="96"/>
      <c r="F174" s="96"/>
      <c r="G174" s="96"/>
      <c r="H174" s="96"/>
      <c r="I174" s="96"/>
      <c r="J174" s="28" t="s">
        <v>74</v>
      </c>
      <c r="K174" s="96"/>
      <c r="L174" s="96"/>
      <c r="M174" s="96"/>
      <c r="N174" s="96"/>
      <c r="O174" s="96"/>
      <c r="P174" s="102"/>
      <c r="Q174" s="103"/>
      <c r="R174" s="104"/>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8">
        <v>86769.43</v>
      </c>
      <c r="Q175" s="109"/>
      <c r="R175" s="26"/>
    </row>
    <row r="176" spans="1:18" ht="18" thickBot="1">
      <c r="A176" s="97" t="s">
        <v>78</v>
      </c>
      <c r="B176" s="98"/>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8">
        <v>86769.43</v>
      </c>
      <c r="Q176" s="109"/>
      <c r="R176" s="26"/>
    </row>
    <row r="177" spans="1:18" ht="35" thickBot="1">
      <c r="A177" s="95" t="s">
        <v>44</v>
      </c>
      <c r="B177" s="95"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102" t="s">
        <v>59</v>
      </c>
      <c r="Q177" s="113"/>
      <c r="R177" s="103"/>
    </row>
    <row r="178" spans="1:18" ht="17">
      <c r="A178" s="99"/>
      <c r="B178" s="99"/>
      <c r="C178" s="95" t="s">
        <v>60</v>
      </c>
      <c r="D178" s="95" t="s">
        <v>61</v>
      </c>
      <c r="E178" s="95" t="s">
        <v>62</v>
      </c>
      <c r="F178" s="95" t="s">
        <v>63</v>
      </c>
      <c r="G178" s="95" t="s">
        <v>64</v>
      </c>
      <c r="H178" s="95" t="s">
        <v>65</v>
      </c>
      <c r="I178" s="95" t="s">
        <v>66</v>
      </c>
      <c r="J178" s="27" t="s">
        <v>67</v>
      </c>
      <c r="K178" s="95" t="s">
        <v>68</v>
      </c>
      <c r="L178" s="95" t="s">
        <v>69</v>
      </c>
      <c r="M178" s="95" t="s">
        <v>70</v>
      </c>
      <c r="N178" s="95" t="s">
        <v>71</v>
      </c>
      <c r="O178" s="95" t="s">
        <v>72</v>
      </c>
      <c r="P178" s="106" t="s">
        <v>73</v>
      </c>
      <c r="Q178" s="112"/>
      <c r="R178" s="107"/>
    </row>
    <row r="179" spans="1:18" ht="18" thickBot="1">
      <c r="A179" s="96"/>
      <c r="B179" s="96"/>
      <c r="C179" s="96"/>
      <c r="D179" s="96"/>
      <c r="E179" s="96"/>
      <c r="F179" s="96"/>
      <c r="G179" s="96"/>
      <c r="H179" s="96"/>
      <c r="I179" s="96"/>
      <c r="J179" s="28" t="s">
        <v>74</v>
      </c>
      <c r="K179" s="96"/>
      <c r="L179" s="96"/>
      <c r="M179" s="96"/>
      <c r="N179" s="96"/>
      <c r="O179" s="96"/>
      <c r="P179" s="102"/>
      <c r="Q179" s="113"/>
      <c r="R179" s="103"/>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8">
        <v>60409.05</v>
      </c>
      <c r="Q180" s="118"/>
      <c r="R180" s="109"/>
    </row>
    <row r="181" spans="1:18" ht="18" thickBot="1">
      <c r="A181" s="100" t="s">
        <v>78</v>
      </c>
      <c r="B181" s="101"/>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8">
        <v>60409.05</v>
      </c>
      <c r="Q181" s="118"/>
      <c r="R181" s="109"/>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5" t="s">
        <v>44</v>
      </c>
      <c r="B192" s="95"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9"/>
      <c r="B193" s="99"/>
      <c r="C193" s="95" t="s">
        <v>60</v>
      </c>
      <c r="D193" s="95" t="s">
        <v>61</v>
      </c>
      <c r="E193" s="95" t="s">
        <v>62</v>
      </c>
      <c r="F193" s="95" t="s">
        <v>63</v>
      </c>
      <c r="G193" s="95" t="s">
        <v>64</v>
      </c>
      <c r="H193" s="95" t="s">
        <v>65</v>
      </c>
      <c r="I193" s="95" t="s">
        <v>66</v>
      </c>
      <c r="J193" s="27" t="s">
        <v>67</v>
      </c>
      <c r="K193" s="27" t="s">
        <v>89</v>
      </c>
      <c r="L193" s="95" t="s">
        <v>69</v>
      </c>
      <c r="M193" s="95" t="s">
        <v>70</v>
      </c>
      <c r="N193" s="95" t="s">
        <v>71</v>
      </c>
      <c r="O193" s="95" t="s">
        <v>72</v>
      </c>
      <c r="P193" s="95" t="s">
        <v>73</v>
      </c>
      <c r="Q193" s="104"/>
      <c r="R193" s="105"/>
    </row>
    <row r="194" spans="1:18" ht="18" thickBot="1">
      <c r="A194" s="96"/>
      <c r="B194" s="96"/>
      <c r="C194" s="96"/>
      <c r="D194" s="96"/>
      <c r="E194" s="96"/>
      <c r="F194" s="96"/>
      <c r="G194" s="96"/>
      <c r="H194" s="96"/>
      <c r="I194" s="96"/>
      <c r="J194" s="28" t="s">
        <v>74</v>
      </c>
      <c r="K194" s="28" t="s">
        <v>75</v>
      </c>
      <c r="L194" s="96"/>
      <c r="M194" s="96"/>
      <c r="N194" s="96"/>
      <c r="O194" s="96"/>
      <c r="P194" s="96"/>
      <c r="Q194" s="104"/>
      <c r="R194" s="105"/>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7" t="s">
        <v>78</v>
      </c>
      <c r="B196" s="98"/>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5" t="s">
        <v>44</v>
      </c>
      <c r="B197" s="95"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102" t="s">
        <v>59</v>
      </c>
      <c r="Q197" s="103"/>
      <c r="R197" s="26"/>
    </row>
    <row r="198" spans="1:18" ht="17">
      <c r="A198" s="99"/>
      <c r="B198" s="99"/>
      <c r="C198" s="95" t="s">
        <v>60</v>
      </c>
      <c r="D198" s="95" t="s">
        <v>61</v>
      </c>
      <c r="E198" s="95" t="s">
        <v>62</v>
      </c>
      <c r="F198" s="95" t="s">
        <v>63</v>
      </c>
      <c r="G198" s="95" t="s">
        <v>64</v>
      </c>
      <c r="H198" s="95" t="s">
        <v>65</v>
      </c>
      <c r="I198" s="95" t="s">
        <v>66</v>
      </c>
      <c r="J198" s="27" t="s">
        <v>67</v>
      </c>
      <c r="K198" s="27" t="s">
        <v>89</v>
      </c>
      <c r="L198" s="95" t="s">
        <v>69</v>
      </c>
      <c r="M198" s="95" t="s">
        <v>70</v>
      </c>
      <c r="N198" s="95" t="s">
        <v>71</v>
      </c>
      <c r="O198" s="95" t="s">
        <v>72</v>
      </c>
      <c r="P198" s="106" t="s">
        <v>73</v>
      </c>
      <c r="Q198" s="107"/>
      <c r="R198" s="104"/>
    </row>
    <row r="199" spans="1:18" ht="18" thickBot="1">
      <c r="A199" s="96"/>
      <c r="B199" s="96"/>
      <c r="C199" s="96"/>
      <c r="D199" s="96"/>
      <c r="E199" s="96"/>
      <c r="F199" s="96"/>
      <c r="G199" s="96"/>
      <c r="H199" s="96"/>
      <c r="I199" s="96"/>
      <c r="J199" s="28" t="s">
        <v>74</v>
      </c>
      <c r="K199" s="28" t="s">
        <v>75</v>
      </c>
      <c r="L199" s="96"/>
      <c r="M199" s="96"/>
      <c r="N199" s="96"/>
      <c r="O199" s="96"/>
      <c r="P199" s="102"/>
      <c r="Q199" s="103"/>
      <c r="R199" s="104"/>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8">
        <v>118333.49</v>
      </c>
      <c r="Q200" s="109"/>
      <c r="R200" s="26"/>
    </row>
    <row r="201" spans="1:18" ht="18" thickBot="1">
      <c r="A201" s="97" t="s">
        <v>78</v>
      </c>
      <c r="B201" s="98"/>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8">
        <v>118333.49</v>
      </c>
      <c r="Q201" s="109"/>
      <c r="R201" s="26"/>
    </row>
    <row r="202" spans="1:18" ht="35" thickBot="1">
      <c r="A202" s="95" t="s">
        <v>44</v>
      </c>
      <c r="B202" s="95"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102" t="s">
        <v>59</v>
      </c>
      <c r="Q202" s="113"/>
      <c r="R202" s="103"/>
    </row>
    <row r="203" spans="1:18" ht="17">
      <c r="A203" s="99"/>
      <c r="B203" s="99"/>
      <c r="C203" s="95" t="s">
        <v>60</v>
      </c>
      <c r="D203" s="95" t="s">
        <v>61</v>
      </c>
      <c r="E203" s="95" t="s">
        <v>62</v>
      </c>
      <c r="F203" s="95" t="s">
        <v>63</v>
      </c>
      <c r="G203" s="95" t="s">
        <v>64</v>
      </c>
      <c r="H203" s="95" t="s">
        <v>65</v>
      </c>
      <c r="I203" s="95" t="s">
        <v>66</v>
      </c>
      <c r="J203" s="27" t="s">
        <v>67</v>
      </c>
      <c r="K203" s="27" t="s">
        <v>89</v>
      </c>
      <c r="L203" s="95" t="s">
        <v>69</v>
      </c>
      <c r="M203" s="95" t="s">
        <v>70</v>
      </c>
      <c r="N203" s="95" t="s">
        <v>71</v>
      </c>
      <c r="O203" s="95" t="s">
        <v>72</v>
      </c>
      <c r="P203" s="106" t="s">
        <v>73</v>
      </c>
      <c r="Q203" s="112"/>
      <c r="R203" s="107"/>
    </row>
    <row r="204" spans="1:18" ht="18" thickBot="1">
      <c r="A204" s="96"/>
      <c r="B204" s="96"/>
      <c r="C204" s="96"/>
      <c r="D204" s="96"/>
      <c r="E204" s="96"/>
      <c r="F204" s="96"/>
      <c r="G204" s="96"/>
      <c r="H204" s="96"/>
      <c r="I204" s="96"/>
      <c r="J204" s="28" t="s">
        <v>74</v>
      </c>
      <c r="K204" s="28" t="s">
        <v>75</v>
      </c>
      <c r="L204" s="96"/>
      <c r="M204" s="96"/>
      <c r="N204" s="96"/>
      <c r="O204" s="96"/>
      <c r="P204" s="102"/>
      <c r="Q204" s="113"/>
      <c r="R204" s="103"/>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8">
        <v>7446709.5800000001</v>
      </c>
      <c r="Q205" s="118"/>
      <c r="R205" s="109"/>
    </row>
    <row r="206" spans="1:18" ht="18" thickBot="1">
      <c r="A206" s="100" t="s">
        <v>78</v>
      </c>
      <c r="B206" s="101"/>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8">
        <v>7446709.5800000001</v>
      </c>
      <c r="Q206" s="118"/>
      <c r="R206" s="109"/>
    </row>
    <row r="207" spans="1:18">
      <c r="A207" s="14"/>
    </row>
    <row r="208" spans="1:18">
      <c r="A208" s="14"/>
    </row>
    <row r="209" spans="1:18">
      <c r="A209" s="16" t="s">
        <v>98</v>
      </c>
    </row>
    <row r="210" spans="1:18" ht="17" thickBot="1">
      <c r="A210" s="16"/>
    </row>
    <row r="211" spans="1:18" ht="35" thickBot="1">
      <c r="A211" s="95" t="s">
        <v>44</v>
      </c>
      <c r="B211" s="95"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9"/>
      <c r="B212" s="99"/>
      <c r="C212" s="95" t="s">
        <v>60</v>
      </c>
      <c r="D212" s="95" t="s">
        <v>61</v>
      </c>
      <c r="E212" s="95" t="s">
        <v>62</v>
      </c>
      <c r="F212" s="95" t="s">
        <v>63</v>
      </c>
      <c r="G212" s="95" t="s">
        <v>64</v>
      </c>
      <c r="H212" s="95" t="s">
        <v>65</v>
      </c>
      <c r="I212" s="95" t="s">
        <v>66</v>
      </c>
      <c r="J212" s="27" t="s">
        <v>67</v>
      </c>
      <c r="K212" s="27" t="s">
        <v>89</v>
      </c>
      <c r="L212" s="95" t="s">
        <v>69</v>
      </c>
      <c r="M212" s="95" t="s">
        <v>70</v>
      </c>
      <c r="N212" s="95" t="s">
        <v>71</v>
      </c>
      <c r="O212" s="95" t="s">
        <v>72</v>
      </c>
      <c r="P212" s="95" t="s">
        <v>73</v>
      </c>
      <c r="Q212" s="104"/>
      <c r="R212" s="105"/>
    </row>
    <row r="213" spans="1:18" ht="18" thickBot="1">
      <c r="A213" s="96"/>
      <c r="B213" s="96"/>
      <c r="C213" s="96"/>
      <c r="D213" s="96"/>
      <c r="E213" s="96"/>
      <c r="F213" s="96"/>
      <c r="G213" s="96"/>
      <c r="H213" s="96"/>
      <c r="I213" s="96"/>
      <c r="J213" s="28" t="s">
        <v>74</v>
      </c>
      <c r="K213" s="28" t="s">
        <v>75</v>
      </c>
      <c r="L213" s="96"/>
      <c r="M213" s="96"/>
      <c r="N213" s="96"/>
      <c r="O213" s="96"/>
      <c r="P213" s="96"/>
      <c r="Q213" s="104"/>
      <c r="R213" s="105"/>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7" t="s">
        <v>78</v>
      </c>
      <c r="B215" s="98"/>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5" t="s">
        <v>44</v>
      </c>
      <c r="B216" s="95"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102" t="s">
        <v>90</v>
      </c>
      <c r="Q216" s="103"/>
      <c r="R216" s="26"/>
    </row>
    <row r="217" spans="1:18" ht="17">
      <c r="A217" s="99"/>
      <c r="B217" s="99"/>
      <c r="C217" s="95" t="s">
        <v>60</v>
      </c>
      <c r="D217" s="95" t="s">
        <v>61</v>
      </c>
      <c r="E217" s="95" t="s">
        <v>62</v>
      </c>
      <c r="F217" s="95" t="s">
        <v>63</v>
      </c>
      <c r="G217" s="95" t="s">
        <v>64</v>
      </c>
      <c r="H217" s="95" t="s">
        <v>65</v>
      </c>
      <c r="I217" s="95" t="s">
        <v>66</v>
      </c>
      <c r="J217" s="27" t="s">
        <v>67</v>
      </c>
      <c r="K217" s="27" t="s">
        <v>89</v>
      </c>
      <c r="L217" s="95" t="s">
        <v>69</v>
      </c>
      <c r="M217" s="95" t="s">
        <v>70</v>
      </c>
      <c r="N217" s="95" t="s">
        <v>71</v>
      </c>
      <c r="O217" s="95" t="s">
        <v>72</v>
      </c>
      <c r="P217" s="106" t="s">
        <v>73</v>
      </c>
      <c r="Q217" s="107"/>
      <c r="R217" s="104"/>
    </row>
    <row r="218" spans="1:18" ht="18" thickBot="1">
      <c r="A218" s="96"/>
      <c r="B218" s="96"/>
      <c r="C218" s="96"/>
      <c r="D218" s="96"/>
      <c r="E218" s="96"/>
      <c r="F218" s="96"/>
      <c r="G218" s="96"/>
      <c r="H218" s="96"/>
      <c r="I218" s="96"/>
      <c r="J218" s="28" t="s">
        <v>74</v>
      </c>
      <c r="K218" s="28" t="s">
        <v>75</v>
      </c>
      <c r="L218" s="96"/>
      <c r="M218" s="96"/>
      <c r="N218" s="96"/>
      <c r="O218" s="96"/>
      <c r="P218" s="102"/>
      <c r="Q218" s="103"/>
      <c r="R218" s="104"/>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8">
        <v>236666.98</v>
      </c>
      <c r="Q219" s="109"/>
      <c r="R219" s="26"/>
    </row>
    <row r="220" spans="1:18" ht="18" thickBot="1">
      <c r="A220" s="97" t="s">
        <v>78</v>
      </c>
      <c r="B220" s="98"/>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8">
        <v>236666.98</v>
      </c>
      <c r="Q220" s="109"/>
      <c r="R220" s="26"/>
    </row>
    <row r="221" spans="1:18" ht="35" thickBot="1">
      <c r="A221" s="95" t="s">
        <v>44</v>
      </c>
      <c r="B221" s="95"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102" t="s">
        <v>59</v>
      </c>
      <c r="Q221" s="113"/>
      <c r="R221" s="103"/>
    </row>
    <row r="222" spans="1:18" ht="17">
      <c r="A222" s="99"/>
      <c r="B222" s="99"/>
      <c r="C222" s="95" t="s">
        <v>60</v>
      </c>
      <c r="D222" s="95" t="s">
        <v>61</v>
      </c>
      <c r="E222" s="95" t="s">
        <v>62</v>
      </c>
      <c r="F222" s="95" t="s">
        <v>63</v>
      </c>
      <c r="G222" s="95" t="s">
        <v>64</v>
      </c>
      <c r="H222" s="95" t="s">
        <v>65</v>
      </c>
      <c r="I222" s="95" t="s">
        <v>66</v>
      </c>
      <c r="J222" s="27" t="s">
        <v>67</v>
      </c>
      <c r="K222" s="27" t="s">
        <v>89</v>
      </c>
      <c r="L222" s="95" t="s">
        <v>69</v>
      </c>
      <c r="M222" s="95" t="s">
        <v>70</v>
      </c>
      <c r="N222" s="95" t="s">
        <v>71</v>
      </c>
      <c r="O222" s="95" t="s">
        <v>72</v>
      </c>
      <c r="P222" s="106" t="s">
        <v>73</v>
      </c>
      <c r="Q222" s="112"/>
      <c r="R222" s="107"/>
    </row>
    <row r="223" spans="1:18" ht="18" thickBot="1">
      <c r="A223" s="96"/>
      <c r="B223" s="96"/>
      <c r="C223" s="96"/>
      <c r="D223" s="96"/>
      <c r="E223" s="96"/>
      <c r="F223" s="96"/>
      <c r="G223" s="96"/>
      <c r="H223" s="96"/>
      <c r="I223" s="96"/>
      <c r="J223" s="28" t="s">
        <v>74</v>
      </c>
      <c r="K223" s="28" t="s">
        <v>75</v>
      </c>
      <c r="L223" s="96"/>
      <c r="M223" s="96"/>
      <c r="N223" s="96"/>
      <c r="O223" s="96"/>
      <c r="P223" s="102"/>
      <c r="Q223" s="113"/>
      <c r="R223" s="103"/>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8">
        <v>118333.49</v>
      </c>
      <c r="Q224" s="118"/>
      <c r="R224" s="109"/>
    </row>
    <row r="225" spans="1:18" ht="18" thickBot="1">
      <c r="A225" s="100" t="s">
        <v>78</v>
      </c>
      <c r="B225" s="101"/>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8">
        <v>118333.49</v>
      </c>
      <c r="Q225" s="118"/>
      <c r="R225" s="109"/>
    </row>
    <row r="226" spans="1:18">
      <c r="A226" s="32"/>
    </row>
    <row r="227" spans="1:18">
      <c r="A227" s="32"/>
    </row>
    <row r="228" spans="1:18">
      <c r="A228" s="16"/>
    </row>
    <row r="229" spans="1:18">
      <c r="A229" s="16" t="s">
        <v>98</v>
      </c>
    </row>
    <row r="230" spans="1:18" ht="17" thickBot="1">
      <c r="A230" s="33"/>
    </row>
    <row r="231" spans="1:18" ht="35" thickBot="1">
      <c r="A231" s="95" t="s">
        <v>44</v>
      </c>
      <c r="B231" s="95"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9"/>
      <c r="B232" s="99"/>
      <c r="C232" s="95" t="s">
        <v>60</v>
      </c>
      <c r="D232" s="95" t="s">
        <v>61</v>
      </c>
      <c r="E232" s="95" t="s">
        <v>62</v>
      </c>
      <c r="F232" s="95" t="s">
        <v>63</v>
      </c>
      <c r="G232" s="95" t="s">
        <v>64</v>
      </c>
      <c r="H232" s="95" t="s">
        <v>65</v>
      </c>
      <c r="I232" s="95" t="s">
        <v>66</v>
      </c>
      <c r="J232" s="27" t="s">
        <v>67</v>
      </c>
      <c r="K232" s="27" t="s">
        <v>89</v>
      </c>
      <c r="L232" s="95" t="s">
        <v>69</v>
      </c>
      <c r="M232" s="95" t="s">
        <v>70</v>
      </c>
      <c r="N232" s="95" t="s">
        <v>71</v>
      </c>
      <c r="O232" s="95" t="s">
        <v>72</v>
      </c>
      <c r="P232" s="95" t="s">
        <v>73</v>
      </c>
      <c r="Q232" s="104"/>
      <c r="R232" s="105"/>
    </row>
    <row r="233" spans="1:18" ht="18" thickBot="1">
      <c r="A233" s="96"/>
      <c r="B233" s="96"/>
      <c r="C233" s="96"/>
      <c r="D233" s="96"/>
      <c r="E233" s="96"/>
      <c r="F233" s="96"/>
      <c r="G233" s="96"/>
      <c r="H233" s="96"/>
      <c r="I233" s="96"/>
      <c r="J233" s="28" t="s">
        <v>74</v>
      </c>
      <c r="K233" s="28" t="s">
        <v>75</v>
      </c>
      <c r="L233" s="96"/>
      <c r="M233" s="96"/>
      <c r="N233" s="96"/>
      <c r="O233" s="96"/>
      <c r="P233" s="96"/>
      <c r="Q233" s="104"/>
      <c r="R233" s="105"/>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7" t="s">
        <v>78</v>
      </c>
      <c r="B235" s="98"/>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5" t="s">
        <v>44</v>
      </c>
      <c r="B236" s="95"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102" t="s">
        <v>59</v>
      </c>
      <c r="Q236" s="103"/>
      <c r="R236" s="26"/>
    </row>
    <row r="237" spans="1:18" ht="17">
      <c r="A237" s="99"/>
      <c r="B237" s="99"/>
      <c r="C237" s="95" t="s">
        <v>60</v>
      </c>
      <c r="D237" s="95" t="s">
        <v>61</v>
      </c>
      <c r="E237" s="95" t="s">
        <v>62</v>
      </c>
      <c r="F237" s="95" t="s">
        <v>63</v>
      </c>
      <c r="G237" s="95" t="s">
        <v>64</v>
      </c>
      <c r="H237" s="95" t="s">
        <v>65</v>
      </c>
      <c r="I237" s="95" t="s">
        <v>66</v>
      </c>
      <c r="J237" s="27" t="s">
        <v>67</v>
      </c>
      <c r="K237" s="27" t="s">
        <v>89</v>
      </c>
      <c r="L237" s="95" t="s">
        <v>69</v>
      </c>
      <c r="M237" s="95" t="s">
        <v>70</v>
      </c>
      <c r="N237" s="95" t="s">
        <v>71</v>
      </c>
      <c r="O237" s="95" t="s">
        <v>72</v>
      </c>
      <c r="P237" s="106" t="s">
        <v>73</v>
      </c>
      <c r="Q237" s="107"/>
      <c r="R237" s="104"/>
    </row>
    <row r="238" spans="1:18" ht="18" thickBot="1">
      <c r="A238" s="96"/>
      <c r="B238" s="96"/>
      <c r="C238" s="96"/>
      <c r="D238" s="96"/>
      <c r="E238" s="96"/>
      <c r="F238" s="96"/>
      <c r="G238" s="96"/>
      <c r="H238" s="96"/>
      <c r="I238" s="96"/>
      <c r="J238" s="28" t="s">
        <v>74</v>
      </c>
      <c r="K238" s="28" t="s">
        <v>75</v>
      </c>
      <c r="L238" s="96"/>
      <c r="M238" s="96"/>
      <c r="N238" s="96"/>
      <c r="O238" s="96"/>
      <c r="P238" s="102"/>
      <c r="Q238" s="103"/>
      <c r="R238" s="104"/>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8">
        <v>236666.98</v>
      </c>
      <c r="Q239" s="109"/>
      <c r="R239" s="26"/>
    </row>
    <row r="240" spans="1:18" ht="18" thickBot="1">
      <c r="A240" s="97" t="s">
        <v>78</v>
      </c>
      <c r="B240" s="98"/>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8">
        <v>236666.98</v>
      </c>
      <c r="Q240" s="109"/>
      <c r="R240" s="26"/>
    </row>
    <row r="241" spans="1:19" ht="35" thickBot="1">
      <c r="A241" s="95" t="s">
        <v>44</v>
      </c>
      <c r="B241" s="95"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102" t="s">
        <v>59</v>
      </c>
      <c r="Q241" s="113"/>
      <c r="R241" s="103"/>
    </row>
    <row r="242" spans="1:19" ht="17">
      <c r="A242" s="99"/>
      <c r="B242" s="99"/>
      <c r="C242" s="95" t="s">
        <v>60</v>
      </c>
      <c r="D242" s="95" t="s">
        <v>61</v>
      </c>
      <c r="E242" s="95" t="s">
        <v>62</v>
      </c>
      <c r="F242" s="95" t="s">
        <v>63</v>
      </c>
      <c r="G242" s="95" t="s">
        <v>64</v>
      </c>
      <c r="H242" s="95" t="s">
        <v>65</v>
      </c>
      <c r="I242" s="95" t="s">
        <v>66</v>
      </c>
      <c r="J242" s="27" t="s">
        <v>67</v>
      </c>
      <c r="K242" s="27" t="s">
        <v>89</v>
      </c>
      <c r="L242" s="95" t="s">
        <v>69</v>
      </c>
      <c r="M242" s="95" t="s">
        <v>70</v>
      </c>
      <c r="N242" s="95" t="s">
        <v>71</v>
      </c>
      <c r="O242" s="95" t="s">
        <v>72</v>
      </c>
      <c r="P242" s="106" t="s">
        <v>73</v>
      </c>
      <c r="Q242" s="112"/>
      <c r="R242" s="107"/>
    </row>
    <row r="243" spans="1:19" ht="18" thickBot="1">
      <c r="A243" s="96"/>
      <c r="B243" s="96"/>
      <c r="C243" s="96"/>
      <c r="D243" s="96"/>
      <c r="E243" s="96"/>
      <c r="F243" s="96"/>
      <c r="G243" s="96"/>
      <c r="H243" s="96"/>
      <c r="I243" s="96"/>
      <c r="J243" s="28" t="s">
        <v>74</v>
      </c>
      <c r="K243" s="28" t="s">
        <v>75</v>
      </c>
      <c r="L243" s="96"/>
      <c r="M243" s="96"/>
      <c r="N243" s="96"/>
      <c r="O243" s="96"/>
      <c r="P243" s="102"/>
      <c r="Q243" s="113"/>
      <c r="R243" s="103"/>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8">
        <v>118333.49</v>
      </c>
      <c r="Q244" s="118"/>
      <c r="R244" s="109"/>
    </row>
    <row r="245" spans="1:19" ht="18" thickBot="1">
      <c r="A245" s="100" t="s">
        <v>78</v>
      </c>
      <c r="B245" s="101"/>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8">
        <v>118333.49</v>
      </c>
      <c r="Q245" s="118"/>
      <c r="R245" s="109"/>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5" t="s">
        <v>44</v>
      </c>
      <c r="B253" s="95" t="s">
        <v>45</v>
      </c>
      <c r="C253" s="23" t="s">
        <v>46</v>
      </c>
      <c r="D253" s="23" t="s">
        <v>47</v>
      </c>
      <c r="E253" s="23" t="s">
        <v>48</v>
      </c>
      <c r="F253" s="23" t="s">
        <v>49</v>
      </c>
      <c r="G253" s="23" t="s">
        <v>50</v>
      </c>
      <c r="H253" s="23" t="s">
        <v>51</v>
      </c>
      <c r="I253" s="23" t="s">
        <v>52</v>
      </c>
      <c r="J253" s="23" t="s">
        <v>53</v>
      </c>
      <c r="K253" s="100" t="s">
        <v>88</v>
      </c>
      <c r="L253" s="101"/>
      <c r="M253" s="23" t="s">
        <v>55</v>
      </c>
      <c r="N253" s="23" t="s">
        <v>56</v>
      </c>
      <c r="O253" s="23" t="s">
        <v>57</v>
      </c>
      <c r="P253" s="23" t="s">
        <v>58</v>
      </c>
      <c r="Q253" s="25" t="s">
        <v>59</v>
      </c>
      <c r="R253" s="26"/>
      <c r="S253" s="26"/>
    </row>
    <row r="254" spans="1:19" ht="17">
      <c r="A254" s="99"/>
      <c r="B254" s="99"/>
      <c r="C254" s="95" t="s">
        <v>60</v>
      </c>
      <c r="D254" s="95" t="s">
        <v>61</v>
      </c>
      <c r="E254" s="95" t="s">
        <v>62</v>
      </c>
      <c r="F254" s="95" t="s">
        <v>63</v>
      </c>
      <c r="G254" s="95" t="s">
        <v>64</v>
      </c>
      <c r="H254" s="95" t="s">
        <v>65</v>
      </c>
      <c r="I254" s="95" t="s">
        <v>66</v>
      </c>
      <c r="J254" s="27" t="s">
        <v>67</v>
      </c>
      <c r="K254" s="106" t="s">
        <v>89</v>
      </c>
      <c r="L254" s="107"/>
      <c r="M254" s="95" t="s">
        <v>69</v>
      </c>
      <c r="N254" s="95" t="s">
        <v>70</v>
      </c>
      <c r="O254" s="95" t="s">
        <v>71</v>
      </c>
      <c r="P254" s="95" t="s">
        <v>72</v>
      </c>
      <c r="Q254" s="95" t="s">
        <v>73</v>
      </c>
      <c r="R254" s="104"/>
      <c r="S254" s="105"/>
    </row>
    <row r="255" spans="1:19" ht="18" thickBot="1">
      <c r="A255" s="96"/>
      <c r="B255" s="96"/>
      <c r="C255" s="96"/>
      <c r="D255" s="96"/>
      <c r="E255" s="96"/>
      <c r="F255" s="96"/>
      <c r="G255" s="96"/>
      <c r="H255" s="96"/>
      <c r="I255" s="96"/>
      <c r="J255" s="28" t="s">
        <v>74</v>
      </c>
      <c r="K255" s="102" t="s">
        <v>75</v>
      </c>
      <c r="L255" s="103"/>
      <c r="M255" s="96"/>
      <c r="N255" s="96"/>
      <c r="O255" s="96"/>
      <c r="P255" s="96"/>
      <c r="Q255" s="96"/>
      <c r="R255" s="104"/>
      <c r="S255" s="105"/>
    </row>
    <row r="256" spans="1:19" ht="18" thickBot="1">
      <c r="A256" s="29" t="s">
        <v>27</v>
      </c>
      <c r="B256" s="28" t="s">
        <v>82</v>
      </c>
      <c r="C256" s="28">
        <v>5</v>
      </c>
      <c r="D256" s="30">
        <v>2182.59</v>
      </c>
      <c r="E256" s="30">
        <v>2604.88</v>
      </c>
      <c r="F256" s="30">
        <v>4787.47</v>
      </c>
      <c r="G256" s="30">
        <v>489.06</v>
      </c>
      <c r="H256" s="30">
        <v>1000</v>
      </c>
      <c r="I256" s="28" t="s">
        <v>77</v>
      </c>
      <c r="J256" s="30">
        <v>6276.53</v>
      </c>
      <c r="K256" s="108">
        <v>75318.36</v>
      </c>
      <c r="L256" s="109"/>
      <c r="M256" s="30">
        <v>4787.47</v>
      </c>
      <c r="N256" s="30">
        <v>1595.82</v>
      </c>
      <c r="O256" s="30">
        <v>712.47</v>
      </c>
      <c r="P256" s="30">
        <v>82414.12</v>
      </c>
      <c r="Q256" s="31">
        <v>412070.6</v>
      </c>
      <c r="R256" s="26"/>
      <c r="S256" s="26"/>
    </row>
    <row r="257" spans="1:19" ht="18" thickBot="1">
      <c r="A257" s="97" t="s">
        <v>78</v>
      </c>
      <c r="B257" s="98"/>
      <c r="C257" s="28"/>
      <c r="D257" s="30">
        <v>2182.59</v>
      </c>
      <c r="E257" s="30">
        <v>2604.88</v>
      </c>
      <c r="F257" s="30">
        <v>4787.47</v>
      </c>
      <c r="G257" s="30">
        <v>489.06</v>
      </c>
      <c r="H257" s="30">
        <v>1000</v>
      </c>
      <c r="I257" s="28" t="s">
        <v>77</v>
      </c>
      <c r="J257" s="30">
        <v>6276.53</v>
      </c>
      <c r="K257" s="108">
        <v>75318.36</v>
      </c>
      <c r="L257" s="109"/>
      <c r="M257" s="30">
        <v>4787.47</v>
      </c>
      <c r="N257" s="30">
        <v>1595.82</v>
      </c>
      <c r="O257" s="30">
        <v>712.47</v>
      </c>
      <c r="P257" s="30">
        <v>82414.12</v>
      </c>
      <c r="Q257" s="31">
        <v>412070.6</v>
      </c>
      <c r="R257" s="26"/>
      <c r="S257" s="26"/>
    </row>
    <row r="258" spans="1:19" ht="35" thickBot="1">
      <c r="A258" s="95" t="s">
        <v>44</v>
      </c>
      <c r="B258" s="95" t="s">
        <v>45</v>
      </c>
      <c r="C258" s="28" t="s">
        <v>46</v>
      </c>
      <c r="D258" s="28" t="s">
        <v>47</v>
      </c>
      <c r="E258" s="28" t="s">
        <v>48</v>
      </c>
      <c r="F258" s="28" t="s">
        <v>49</v>
      </c>
      <c r="G258" s="28" t="s">
        <v>50</v>
      </c>
      <c r="H258" s="28" t="s">
        <v>51</v>
      </c>
      <c r="I258" s="28" t="s">
        <v>52</v>
      </c>
      <c r="J258" s="28" t="s">
        <v>53</v>
      </c>
      <c r="K258" s="100" t="s">
        <v>88</v>
      </c>
      <c r="L258" s="101"/>
      <c r="M258" s="28" t="s">
        <v>55</v>
      </c>
      <c r="N258" s="28" t="s">
        <v>56</v>
      </c>
      <c r="O258" s="28" t="s">
        <v>57</v>
      </c>
      <c r="P258" s="28" t="s">
        <v>58</v>
      </c>
      <c r="Q258" s="102" t="s">
        <v>59</v>
      </c>
      <c r="R258" s="103"/>
      <c r="S258" s="26"/>
    </row>
    <row r="259" spans="1:19" ht="17">
      <c r="A259" s="99"/>
      <c r="B259" s="99"/>
      <c r="C259" s="95" t="s">
        <v>60</v>
      </c>
      <c r="D259" s="95" t="s">
        <v>61</v>
      </c>
      <c r="E259" s="95" t="s">
        <v>62</v>
      </c>
      <c r="F259" s="95" t="s">
        <v>63</v>
      </c>
      <c r="G259" s="95" t="s">
        <v>64</v>
      </c>
      <c r="H259" s="95" t="s">
        <v>65</v>
      </c>
      <c r="I259" s="95" t="s">
        <v>66</v>
      </c>
      <c r="J259" s="27" t="s">
        <v>67</v>
      </c>
      <c r="K259" s="106" t="s">
        <v>89</v>
      </c>
      <c r="L259" s="107"/>
      <c r="M259" s="95" t="s">
        <v>69</v>
      </c>
      <c r="N259" s="95" t="s">
        <v>70</v>
      </c>
      <c r="O259" s="95" t="s">
        <v>71</v>
      </c>
      <c r="P259" s="95" t="s">
        <v>72</v>
      </c>
      <c r="Q259" s="106" t="s">
        <v>73</v>
      </c>
      <c r="R259" s="107"/>
      <c r="S259" s="104"/>
    </row>
    <row r="260" spans="1:19" ht="18" thickBot="1">
      <c r="A260" s="96"/>
      <c r="B260" s="96"/>
      <c r="C260" s="96"/>
      <c r="D260" s="96"/>
      <c r="E260" s="96"/>
      <c r="F260" s="96"/>
      <c r="G260" s="96"/>
      <c r="H260" s="96"/>
      <c r="I260" s="96"/>
      <c r="J260" s="28" t="s">
        <v>74</v>
      </c>
      <c r="K260" s="102" t="s">
        <v>75</v>
      </c>
      <c r="L260" s="103"/>
      <c r="M260" s="96"/>
      <c r="N260" s="96"/>
      <c r="O260" s="96"/>
      <c r="P260" s="96"/>
      <c r="Q260" s="102"/>
      <c r="R260" s="103"/>
      <c r="S260" s="104"/>
    </row>
    <row r="261" spans="1:19" ht="17">
      <c r="A261" s="34" t="s">
        <v>83</v>
      </c>
      <c r="B261" s="95" t="s">
        <v>82</v>
      </c>
      <c r="C261" s="95">
        <v>4</v>
      </c>
      <c r="D261" s="110">
        <v>2182.59</v>
      </c>
      <c r="E261" s="110">
        <v>2604.88</v>
      </c>
      <c r="F261" s="110">
        <v>4787.47</v>
      </c>
      <c r="G261" s="110">
        <v>489.06</v>
      </c>
      <c r="H261" s="110">
        <v>1000</v>
      </c>
      <c r="I261" s="95" t="s">
        <v>77</v>
      </c>
      <c r="J261" s="110">
        <v>6276.53</v>
      </c>
      <c r="K261" s="114">
        <v>75318.36</v>
      </c>
      <c r="L261" s="115"/>
      <c r="M261" s="110">
        <v>4787.47</v>
      </c>
      <c r="N261" s="110">
        <v>1595.82</v>
      </c>
      <c r="O261" s="110">
        <v>712.47</v>
      </c>
      <c r="P261" s="110">
        <v>82414.12</v>
      </c>
      <c r="Q261" s="114">
        <v>329656.48</v>
      </c>
      <c r="R261" s="115"/>
      <c r="S261" s="104"/>
    </row>
    <row r="262" spans="1:19" ht="18" thickBot="1">
      <c r="A262" s="29" t="s">
        <v>84</v>
      </c>
      <c r="B262" s="96"/>
      <c r="C262" s="96"/>
      <c r="D262" s="111"/>
      <c r="E262" s="111"/>
      <c r="F262" s="111"/>
      <c r="G262" s="111"/>
      <c r="H262" s="111"/>
      <c r="I262" s="96"/>
      <c r="J262" s="111"/>
      <c r="K262" s="116"/>
      <c r="L262" s="117"/>
      <c r="M262" s="111"/>
      <c r="N262" s="111"/>
      <c r="O262" s="111"/>
      <c r="P262" s="111"/>
      <c r="Q262" s="116"/>
      <c r="R262" s="117"/>
      <c r="S262" s="104"/>
    </row>
    <row r="263" spans="1:19" ht="18" thickBot="1">
      <c r="A263" s="97" t="s">
        <v>78</v>
      </c>
      <c r="B263" s="98"/>
      <c r="C263" s="28"/>
      <c r="D263" s="30">
        <v>2182.59</v>
      </c>
      <c r="E263" s="30">
        <v>2604.88</v>
      </c>
      <c r="F263" s="30">
        <v>4787.47</v>
      </c>
      <c r="G263" s="30">
        <v>489.06</v>
      </c>
      <c r="H263" s="30">
        <v>1000</v>
      </c>
      <c r="I263" s="28" t="s">
        <v>77</v>
      </c>
      <c r="J263" s="30">
        <v>6276.53</v>
      </c>
      <c r="K263" s="108">
        <v>75318.36</v>
      </c>
      <c r="L263" s="109"/>
      <c r="M263" s="30">
        <v>4787.47</v>
      </c>
      <c r="N263" s="30">
        <v>1595.82</v>
      </c>
      <c r="O263" s="30">
        <v>712.47</v>
      </c>
      <c r="P263" s="30">
        <v>82414.12</v>
      </c>
      <c r="Q263" s="108">
        <v>329656.48</v>
      </c>
      <c r="R263" s="109"/>
      <c r="S263" s="26"/>
    </row>
    <row r="264" spans="1:19" ht="35" thickBot="1">
      <c r="A264" s="95" t="s">
        <v>44</v>
      </c>
      <c r="B264" s="95" t="s">
        <v>45</v>
      </c>
      <c r="C264" s="28" t="s">
        <v>46</v>
      </c>
      <c r="D264" s="28" t="s">
        <v>47</v>
      </c>
      <c r="E264" s="28" t="s">
        <v>48</v>
      </c>
      <c r="F264" s="28" t="s">
        <v>49</v>
      </c>
      <c r="G264" s="28" t="s">
        <v>50</v>
      </c>
      <c r="H264" s="28" t="s">
        <v>51</v>
      </c>
      <c r="I264" s="28" t="s">
        <v>52</v>
      </c>
      <c r="J264" s="28" t="s">
        <v>53</v>
      </c>
      <c r="K264" s="100" t="s">
        <v>88</v>
      </c>
      <c r="L264" s="101"/>
      <c r="M264" s="28" t="s">
        <v>55</v>
      </c>
      <c r="N264" s="28" t="s">
        <v>56</v>
      </c>
      <c r="O264" s="28" t="s">
        <v>57</v>
      </c>
      <c r="P264" s="28" t="s">
        <v>58</v>
      </c>
      <c r="Q264" s="102" t="s">
        <v>59</v>
      </c>
      <c r="R264" s="113"/>
      <c r="S264" s="103"/>
    </row>
    <row r="265" spans="1:19" ht="17">
      <c r="A265" s="99"/>
      <c r="B265" s="99"/>
      <c r="C265" s="95" t="s">
        <v>60</v>
      </c>
      <c r="D265" s="95" t="s">
        <v>61</v>
      </c>
      <c r="E265" s="95" t="s">
        <v>62</v>
      </c>
      <c r="F265" s="95" t="s">
        <v>63</v>
      </c>
      <c r="G265" s="95" t="s">
        <v>64</v>
      </c>
      <c r="H265" s="95" t="s">
        <v>65</v>
      </c>
      <c r="I265" s="95" t="s">
        <v>66</v>
      </c>
      <c r="J265" s="27" t="s">
        <v>67</v>
      </c>
      <c r="K265" s="106" t="s">
        <v>89</v>
      </c>
      <c r="L265" s="107"/>
      <c r="M265" s="95" t="s">
        <v>69</v>
      </c>
      <c r="N265" s="95" t="s">
        <v>70</v>
      </c>
      <c r="O265" s="95" t="s">
        <v>71</v>
      </c>
      <c r="P265" s="95" t="s">
        <v>72</v>
      </c>
      <c r="Q265" s="106" t="s">
        <v>73</v>
      </c>
      <c r="R265" s="112"/>
      <c r="S265" s="107"/>
    </row>
    <row r="266" spans="1:19" ht="18" thickBot="1">
      <c r="A266" s="96"/>
      <c r="B266" s="96"/>
      <c r="C266" s="96"/>
      <c r="D266" s="96"/>
      <c r="E266" s="96"/>
      <c r="F266" s="96"/>
      <c r="G266" s="96"/>
      <c r="H266" s="96"/>
      <c r="I266" s="96"/>
      <c r="J266" s="28" t="s">
        <v>74</v>
      </c>
      <c r="K266" s="102" t="s">
        <v>75</v>
      </c>
      <c r="L266" s="103"/>
      <c r="M266" s="96"/>
      <c r="N266" s="96"/>
      <c r="O266" s="96"/>
      <c r="P266" s="96"/>
      <c r="Q266" s="102"/>
      <c r="R266" s="113"/>
      <c r="S266" s="103"/>
    </row>
    <row r="267" spans="1:19" ht="18" thickBot="1">
      <c r="A267" s="29" t="s">
        <v>29</v>
      </c>
      <c r="B267" s="28" t="s">
        <v>82</v>
      </c>
      <c r="C267" s="28">
        <v>1</v>
      </c>
      <c r="D267" s="30">
        <v>2182.59</v>
      </c>
      <c r="E267" s="30">
        <v>2604.88</v>
      </c>
      <c r="F267" s="30">
        <v>4787.47</v>
      </c>
      <c r="G267" s="30">
        <v>489.06</v>
      </c>
      <c r="H267" s="30">
        <v>1000</v>
      </c>
      <c r="I267" s="28" t="s">
        <v>77</v>
      </c>
      <c r="J267" s="30">
        <v>6276.53</v>
      </c>
      <c r="K267" s="108">
        <v>75318.36</v>
      </c>
      <c r="L267" s="109"/>
      <c r="M267" s="30">
        <v>4787.47</v>
      </c>
      <c r="N267" s="30">
        <v>1595.82</v>
      </c>
      <c r="O267" s="30">
        <v>712.47</v>
      </c>
      <c r="P267" s="30">
        <v>82414.12</v>
      </c>
      <c r="Q267" s="108">
        <v>82414.12</v>
      </c>
      <c r="R267" s="118"/>
      <c r="S267" s="109"/>
    </row>
    <row r="268" spans="1:19" ht="18" thickBot="1">
      <c r="A268" s="100" t="s">
        <v>78</v>
      </c>
      <c r="B268" s="101"/>
      <c r="C268" s="28"/>
      <c r="D268" s="30">
        <v>2182.59</v>
      </c>
      <c r="E268" s="30">
        <v>2604.88</v>
      </c>
      <c r="F268" s="30">
        <v>4787.47</v>
      </c>
      <c r="G268" s="30">
        <v>489.06</v>
      </c>
      <c r="H268" s="30">
        <v>1000</v>
      </c>
      <c r="I268" s="28" t="s">
        <v>77</v>
      </c>
      <c r="J268" s="30">
        <v>6276.53</v>
      </c>
      <c r="K268" s="108">
        <v>75318.36</v>
      </c>
      <c r="L268" s="109"/>
      <c r="M268" s="30">
        <v>4787.47</v>
      </c>
      <c r="N268" s="30">
        <v>1595.82</v>
      </c>
      <c r="O268" s="30">
        <v>712.47</v>
      </c>
      <c r="P268" s="30">
        <v>82414.12</v>
      </c>
      <c r="Q268" s="108">
        <v>82414.12</v>
      </c>
      <c r="R268" s="118"/>
      <c r="S268" s="109"/>
    </row>
    <row r="269" spans="1:19" ht="35" thickBot="1">
      <c r="A269" s="95" t="s">
        <v>44</v>
      </c>
      <c r="B269" s="95" t="s">
        <v>45</v>
      </c>
      <c r="C269" s="28" t="s">
        <v>46</v>
      </c>
      <c r="D269" s="28" t="s">
        <v>47</v>
      </c>
      <c r="E269" s="28" t="s">
        <v>48</v>
      </c>
      <c r="F269" s="28" t="s">
        <v>49</v>
      </c>
      <c r="G269" s="28" t="s">
        <v>50</v>
      </c>
      <c r="H269" s="28" t="s">
        <v>51</v>
      </c>
      <c r="I269" s="28" t="s">
        <v>52</v>
      </c>
      <c r="J269" s="28" t="s">
        <v>53</v>
      </c>
      <c r="K269" s="28" t="s">
        <v>88</v>
      </c>
      <c r="L269" s="100" t="s">
        <v>55</v>
      </c>
      <c r="M269" s="101"/>
      <c r="N269" s="28" t="s">
        <v>56</v>
      </c>
      <c r="O269" s="28" t="s">
        <v>57</v>
      </c>
      <c r="P269" s="28" t="s">
        <v>58</v>
      </c>
      <c r="Q269" s="100" t="s">
        <v>59</v>
      </c>
      <c r="R269" s="101"/>
      <c r="S269" s="26"/>
    </row>
    <row r="270" spans="1:19" ht="17">
      <c r="A270" s="99"/>
      <c r="B270" s="99"/>
      <c r="C270" s="95" t="s">
        <v>60</v>
      </c>
      <c r="D270" s="95" t="s">
        <v>61</v>
      </c>
      <c r="E270" s="95" t="s">
        <v>62</v>
      </c>
      <c r="F270" s="95" t="s">
        <v>63</v>
      </c>
      <c r="G270" s="95" t="s">
        <v>64</v>
      </c>
      <c r="H270" s="95" t="s">
        <v>65</v>
      </c>
      <c r="I270" s="95" t="s">
        <v>66</v>
      </c>
      <c r="J270" s="27" t="s">
        <v>67</v>
      </c>
      <c r="K270" s="27" t="s">
        <v>89</v>
      </c>
      <c r="L270" s="106" t="s">
        <v>69</v>
      </c>
      <c r="M270" s="107"/>
      <c r="N270" s="95" t="s">
        <v>70</v>
      </c>
      <c r="O270" s="95" t="s">
        <v>71</v>
      </c>
      <c r="P270" s="95" t="s">
        <v>72</v>
      </c>
      <c r="Q270" s="106" t="s">
        <v>73</v>
      </c>
      <c r="R270" s="107"/>
      <c r="S270" s="104"/>
    </row>
    <row r="271" spans="1:19" ht="18" thickBot="1">
      <c r="A271" s="96"/>
      <c r="B271" s="96"/>
      <c r="C271" s="96"/>
      <c r="D271" s="96"/>
      <c r="E271" s="96"/>
      <c r="F271" s="96"/>
      <c r="G271" s="96"/>
      <c r="H271" s="96"/>
      <c r="I271" s="96"/>
      <c r="J271" s="28" t="s">
        <v>74</v>
      </c>
      <c r="K271" s="28" t="s">
        <v>75</v>
      </c>
      <c r="L271" s="102"/>
      <c r="M271" s="103"/>
      <c r="N271" s="96"/>
      <c r="O271" s="96"/>
      <c r="P271" s="96"/>
      <c r="Q271" s="102"/>
      <c r="R271" s="103"/>
      <c r="S271" s="104"/>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8">
        <v>4787.47</v>
      </c>
      <c r="M272" s="109"/>
      <c r="N272" s="30">
        <v>1595.82</v>
      </c>
      <c r="O272" s="30">
        <v>712.47</v>
      </c>
      <c r="P272" s="30">
        <v>82414.12</v>
      </c>
      <c r="Q272" s="108">
        <v>1236211.8</v>
      </c>
      <c r="R272" s="109"/>
      <c r="S272" s="26"/>
    </row>
    <row r="273" spans="1:19" ht="18" thickBot="1">
      <c r="A273" s="97" t="s">
        <v>78</v>
      </c>
      <c r="B273" s="98"/>
      <c r="C273" s="28"/>
      <c r="D273" s="30">
        <v>2182.59</v>
      </c>
      <c r="E273" s="30">
        <v>2604.88</v>
      </c>
      <c r="F273" s="30">
        <v>4787.47</v>
      </c>
      <c r="G273" s="30">
        <v>489.06</v>
      </c>
      <c r="H273" s="30">
        <v>1000</v>
      </c>
      <c r="I273" s="28" t="s">
        <v>77</v>
      </c>
      <c r="J273" s="30">
        <v>6276.53</v>
      </c>
      <c r="K273" s="30">
        <v>75318.36</v>
      </c>
      <c r="L273" s="108">
        <v>4787.47</v>
      </c>
      <c r="M273" s="109"/>
      <c r="N273" s="30">
        <v>1595.82</v>
      </c>
      <c r="O273" s="30">
        <v>712.47</v>
      </c>
      <c r="P273" s="30">
        <v>82414.12</v>
      </c>
      <c r="Q273" s="108">
        <v>1236211.8</v>
      </c>
      <c r="R273" s="109"/>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5" t="s">
        <v>44</v>
      </c>
      <c r="B280" s="95"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9"/>
      <c r="B281" s="99"/>
      <c r="C281" s="95" t="s">
        <v>60</v>
      </c>
      <c r="D281" s="95" t="s">
        <v>61</v>
      </c>
      <c r="E281" s="95" t="s">
        <v>62</v>
      </c>
      <c r="F281" s="95" t="s">
        <v>63</v>
      </c>
      <c r="G281" s="95" t="s">
        <v>64</v>
      </c>
      <c r="H281" s="95" t="s">
        <v>65</v>
      </c>
      <c r="I281" s="95" t="s">
        <v>66</v>
      </c>
      <c r="J281" s="27" t="s">
        <v>67</v>
      </c>
      <c r="K281" s="27" t="s">
        <v>89</v>
      </c>
      <c r="L281" s="95" t="s">
        <v>69</v>
      </c>
      <c r="M281" s="95" t="s">
        <v>70</v>
      </c>
      <c r="N281" s="95" t="s">
        <v>71</v>
      </c>
      <c r="O281" s="95" t="s">
        <v>72</v>
      </c>
      <c r="P281" s="95" t="s">
        <v>73</v>
      </c>
      <c r="Q281" s="104"/>
      <c r="R281" s="105"/>
    </row>
    <row r="282" spans="1:19" ht="18" thickBot="1">
      <c r="A282" s="96"/>
      <c r="B282" s="96"/>
      <c r="C282" s="96"/>
      <c r="D282" s="96"/>
      <c r="E282" s="96"/>
      <c r="F282" s="96"/>
      <c r="G282" s="96"/>
      <c r="H282" s="96"/>
      <c r="I282" s="96"/>
      <c r="J282" s="28" t="s">
        <v>74</v>
      </c>
      <c r="K282" s="28" t="s">
        <v>75</v>
      </c>
      <c r="L282" s="96"/>
      <c r="M282" s="96"/>
      <c r="N282" s="96"/>
      <c r="O282" s="96"/>
      <c r="P282" s="96"/>
      <c r="Q282" s="104"/>
      <c r="R282" s="105"/>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7" t="s">
        <v>78</v>
      </c>
      <c r="B284" s="98"/>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5" t="s">
        <v>44</v>
      </c>
      <c r="B285" s="95"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102" t="s">
        <v>59</v>
      </c>
      <c r="Q285" s="103"/>
      <c r="R285" s="26"/>
    </row>
    <row r="286" spans="1:19" ht="17">
      <c r="A286" s="99"/>
      <c r="B286" s="99"/>
      <c r="C286" s="95" t="s">
        <v>60</v>
      </c>
      <c r="D286" s="95" t="s">
        <v>61</v>
      </c>
      <c r="E286" s="95" t="s">
        <v>62</v>
      </c>
      <c r="F286" s="95" t="s">
        <v>63</v>
      </c>
      <c r="G286" s="95" t="s">
        <v>64</v>
      </c>
      <c r="H286" s="95" t="s">
        <v>65</v>
      </c>
      <c r="I286" s="95" t="s">
        <v>66</v>
      </c>
      <c r="J286" s="27" t="s">
        <v>67</v>
      </c>
      <c r="K286" s="27" t="s">
        <v>89</v>
      </c>
      <c r="L286" s="95" t="s">
        <v>69</v>
      </c>
      <c r="M286" s="95" t="s">
        <v>70</v>
      </c>
      <c r="N286" s="95" t="s">
        <v>71</v>
      </c>
      <c r="O286" s="95" t="s">
        <v>72</v>
      </c>
      <c r="P286" s="106" t="s">
        <v>73</v>
      </c>
      <c r="Q286" s="107"/>
      <c r="R286" s="104"/>
    </row>
    <row r="287" spans="1:19" ht="18" thickBot="1">
      <c r="A287" s="96"/>
      <c r="B287" s="96"/>
      <c r="C287" s="96"/>
      <c r="D287" s="96"/>
      <c r="E287" s="96"/>
      <c r="F287" s="96"/>
      <c r="G287" s="96"/>
      <c r="H287" s="96"/>
      <c r="I287" s="96"/>
      <c r="J287" s="28" t="s">
        <v>74</v>
      </c>
      <c r="K287" s="28" t="s">
        <v>75</v>
      </c>
      <c r="L287" s="96"/>
      <c r="M287" s="96"/>
      <c r="N287" s="96"/>
      <c r="O287" s="96"/>
      <c r="P287" s="102"/>
      <c r="Q287" s="103"/>
      <c r="R287" s="104"/>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8">
        <v>82414.12</v>
      </c>
      <c r="Q288" s="109"/>
      <c r="R288" s="26"/>
    </row>
    <row r="289" spans="1:18" ht="18" thickBot="1">
      <c r="A289" s="97" t="s">
        <v>78</v>
      </c>
      <c r="B289" s="98"/>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8">
        <v>82414.12</v>
      </c>
      <c r="Q289" s="109"/>
      <c r="R289" s="26"/>
    </row>
    <row r="290" spans="1:18" ht="35" thickBot="1">
      <c r="A290" s="95" t="s">
        <v>44</v>
      </c>
      <c r="B290" s="95"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102" t="s">
        <v>59</v>
      </c>
      <c r="Q290" s="113"/>
      <c r="R290" s="103"/>
    </row>
    <row r="291" spans="1:18" ht="17">
      <c r="A291" s="99"/>
      <c r="B291" s="99"/>
      <c r="C291" s="95" t="s">
        <v>60</v>
      </c>
      <c r="D291" s="95" t="s">
        <v>61</v>
      </c>
      <c r="E291" s="95" t="s">
        <v>62</v>
      </c>
      <c r="F291" s="95" t="s">
        <v>63</v>
      </c>
      <c r="G291" s="95" t="s">
        <v>64</v>
      </c>
      <c r="H291" s="95" t="s">
        <v>65</v>
      </c>
      <c r="I291" s="95" t="s">
        <v>66</v>
      </c>
      <c r="J291" s="27" t="s">
        <v>67</v>
      </c>
      <c r="K291" s="27" t="s">
        <v>89</v>
      </c>
      <c r="L291" s="95" t="s">
        <v>69</v>
      </c>
      <c r="M291" s="95" t="s">
        <v>70</v>
      </c>
      <c r="N291" s="95" t="s">
        <v>71</v>
      </c>
      <c r="O291" s="95" t="s">
        <v>72</v>
      </c>
      <c r="P291" s="106" t="s">
        <v>73</v>
      </c>
      <c r="Q291" s="112"/>
      <c r="R291" s="107"/>
    </row>
    <row r="292" spans="1:18" ht="18" thickBot="1">
      <c r="A292" s="96"/>
      <c r="B292" s="96"/>
      <c r="C292" s="96"/>
      <c r="D292" s="96"/>
      <c r="E292" s="96"/>
      <c r="F292" s="96"/>
      <c r="G292" s="96"/>
      <c r="H292" s="96"/>
      <c r="I292" s="96"/>
      <c r="J292" s="28" t="s">
        <v>74</v>
      </c>
      <c r="K292" s="28" t="s">
        <v>75</v>
      </c>
      <c r="L292" s="96"/>
      <c r="M292" s="96"/>
      <c r="N292" s="96"/>
      <c r="O292" s="96"/>
      <c r="P292" s="102"/>
      <c r="Q292" s="113"/>
      <c r="R292" s="103"/>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8">
        <v>82414.12</v>
      </c>
      <c r="Q293" s="118"/>
      <c r="R293" s="109"/>
    </row>
    <row r="294" spans="1:18" ht="18" thickBot="1">
      <c r="A294" s="100" t="s">
        <v>78</v>
      </c>
      <c r="B294" s="101"/>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8">
        <v>82414.12</v>
      </c>
      <c r="Q294" s="118"/>
      <c r="R294" s="109"/>
    </row>
    <row r="295" spans="1:18">
      <c r="A295" s="32"/>
    </row>
    <row r="296" spans="1:18">
      <c r="A296" s="16" t="s">
        <v>98</v>
      </c>
    </row>
    <row r="297" spans="1:18" ht="17" thickBot="1">
      <c r="A297" s="16"/>
    </row>
    <row r="298" spans="1:18" ht="35" thickBot="1">
      <c r="A298" s="95" t="s">
        <v>44</v>
      </c>
      <c r="B298" s="95"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9"/>
      <c r="B299" s="99"/>
      <c r="C299" s="95" t="s">
        <v>60</v>
      </c>
      <c r="D299" s="95" t="s">
        <v>61</v>
      </c>
      <c r="E299" s="95" t="s">
        <v>62</v>
      </c>
      <c r="F299" s="95" t="s">
        <v>63</v>
      </c>
      <c r="G299" s="95" t="s">
        <v>64</v>
      </c>
      <c r="H299" s="95" t="s">
        <v>65</v>
      </c>
      <c r="I299" s="95" t="s">
        <v>66</v>
      </c>
      <c r="J299" s="27" t="s">
        <v>67</v>
      </c>
      <c r="K299" s="27" t="s">
        <v>89</v>
      </c>
      <c r="L299" s="95" t="s">
        <v>69</v>
      </c>
      <c r="M299" s="95" t="s">
        <v>70</v>
      </c>
      <c r="N299" s="95" t="s">
        <v>71</v>
      </c>
      <c r="O299" s="95" t="s">
        <v>72</v>
      </c>
      <c r="P299" s="95" t="s">
        <v>73</v>
      </c>
      <c r="Q299" s="104"/>
      <c r="R299" s="105"/>
    </row>
    <row r="300" spans="1:18" ht="18" thickBot="1">
      <c r="A300" s="96"/>
      <c r="B300" s="96"/>
      <c r="C300" s="96"/>
      <c r="D300" s="96"/>
      <c r="E300" s="96"/>
      <c r="F300" s="96"/>
      <c r="G300" s="96"/>
      <c r="H300" s="96"/>
      <c r="I300" s="96"/>
      <c r="J300" s="28" t="s">
        <v>74</v>
      </c>
      <c r="K300" s="28" t="s">
        <v>75</v>
      </c>
      <c r="L300" s="96"/>
      <c r="M300" s="96"/>
      <c r="N300" s="96"/>
      <c r="O300" s="96"/>
      <c r="P300" s="96"/>
      <c r="Q300" s="104"/>
      <c r="R300" s="105"/>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7" t="s">
        <v>78</v>
      </c>
      <c r="B302" s="98"/>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5" t="s">
        <v>44</v>
      </c>
      <c r="B303" s="95"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102" t="s">
        <v>59</v>
      </c>
      <c r="Q303" s="103"/>
      <c r="R303" s="26"/>
    </row>
    <row r="304" spans="1:18" ht="17">
      <c r="A304" s="99"/>
      <c r="B304" s="99"/>
      <c r="C304" s="95" t="s">
        <v>60</v>
      </c>
      <c r="D304" s="95" t="s">
        <v>61</v>
      </c>
      <c r="E304" s="95" t="s">
        <v>62</v>
      </c>
      <c r="F304" s="95" t="s">
        <v>63</v>
      </c>
      <c r="G304" s="95" t="s">
        <v>64</v>
      </c>
      <c r="H304" s="95" t="s">
        <v>65</v>
      </c>
      <c r="I304" s="95" t="s">
        <v>66</v>
      </c>
      <c r="J304" s="27" t="s">
        <v>67</v>
      </c>
      <c r="K304" s="27" t="s">
        <v>89</v>
      </c>
      <c r="L304" s="95" t="s">
        <v>69</v>
      </c>
      <c r="M304" s="95" t="s">
        <v>70</v>
      </c>
      <c r="N304" s="95" t="s">
        <v>71</v>
      </c>
      <c r="O304" s="95" t="s">
        <v>72</v>
      </c>
      <c r="P304" s="106" t="s">
        <v>73</v>
      </c>
      <c r="Q304" s="107"/>
      <c r="R304" s="104"/>
    </row>
    <row r="305" spans="1:18" ht="18" thickBot="1">
      <c r="A305" s="96"/>
      <c r="B305" s="96"/>
      <c r="C305" s="96"/>
      <c r="D305" s="96"/>
      <c r="E305" s="96"/>
      <c r="F305" s="96"/>
      <c r="G305" s="96"/>
      <c r="H305" s="96"/>
      <c r="I305" s="96"/>
      <c r="J305" s="28" t="s">
        <v>74</v>
      </c>
      <c r="K305" s="28" t="s">
        <v>75</v>
      </c>
      <c r="L305" s="96"/>
      <c r="M305" s="96"/>
      <c r="N305" s="96"/>
      <c r="O305" s="96"/>
      <c r="P305" s="102"/>
      <c r="Q305" s="103"/>
      <c r="R305" s="104"/>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8">
        <v>82414.12</v>
      </c>
      <c r="Q306" s="109"/>
      <c r="R306" s="26"/>
    </row>
    <row r="307" spans="1:18" ht="18" thickBot="1">
      <c r="A307" s="97" t="s">
        <v>78</v>
      </c>
      <c r="B307" s="98"/>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8">
        <v>82414.12</v>
      </c>
      <c r="Q307" s="109"/>
      <c r="R307" s="26"/>
    </row>
    <row r="308" spans="1:18" ht="35" thickBot="1">
      <c r="A308" s="95" t="s">
        <v>44</v>
      </c>
      <c r="B308" s="95"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102" t="s">
        <v>59</v>
      </c>
      <c r="Q308" s="113"/>
      <c r="R308" s="103"/>
    </row>
    <row r="309" spans="1:18" ht="17">
      <c r="A309" s="99"/>
      <c r="B309" s="99"/>
      <c r="C309" s="95" t="s">
        <v>60</v>
      </c>
      <c r="D309" s="95" t="s">
        <v>61</v>
      </c>
      <c r="E309" s="95" t="s">
        <v>62</v>
      </c>
      <c r="F309" s="95" t="s">
        <v>63</v>
      </c>
      <c r="G309" s="95" t="s">
        <v>64</v>
      </c>
      <c r="H309" s="95" t="s">
        <v>65</v>
      </c>
      <c r="I309" s="95" t="s">
        <v>66</v>
      </c>
      <c r="J309" s="27" t="s">
        <v>67</v>
      </c>
      <c r="K309" s="27" t="s">
        <v>89</v>
      </c>
      <c r="L309" s="95" t="s">
        <v>69</v>
      </c>
      <c r="M309" s="95" t="s">
        <v>70</v>
      </c>
      <c r="N309" s="95" t="s">
        <v>71</v>
      </c>
      <c r="O309" s="95" t="s">
        <v>72</v>
      </c>
      <c r="P309" s="106" t="s">
        <v>73</v>
      </c>
      <c r="Q309" s="112"/>
      <c r="R309" s="107"/>
    </row>
    <row r="310" spans="1:18" ht="18" thickBot="1">
      <c r="A310" s="96"/>
      <c r="B310" s="96"/>
      <c r="C310" s="96"/>
      <c r="D310" s="96"/>
      <c r="E310" s="96"/>
      <c r="F310" s="96"/>
      <c r="G310" s="96"/>
      <c r="H310" s="96"/>
      <c r="I310" s="96"/>
      <c r="J310" s="28" t="s">
        <v>74</v>
      </c>
      <c r="K310" s="28" t="s">
        <v>75</v>
      </c>
      <c r="L310" s="96"/>
      <c r="M310" s="96"/>
      <c r="N310" s="96"/>
      <c r="O310" s="96"/>
      <c r="P310" s="102"/>
      <c r="Q310" s="113"/>
      <c r="R310" s="103"/>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8">
        <v>164828.24</v>
      </c>
      <c r="Q311" s="118"/>
      <c r="R311" s="109"/>
    </row>
    <row r="312" spans="1:18" ht="18" thickBot="1">
      <c r="A312" s="100" t="s">
        <v>78</v>
      </c>
      <c r="B312" s="101"/>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8">
        <v>164828.24</v>
      </c>
      <c r="Q312" s="118"/>
      <c r="R312" s="109"/>
    </row>
    <row r="313" spans="1:18">
      <c r="A313" s="32"/>
    </row>
    <row r="314" spans="1:18">
      <c r="A314" s="16" t="s">
        <v>98</v>
      </c>
    </row>
    <row r="315" spans="1:18" ht="17" thickBot="1">
      <c r="A315" s="24"/>
    </row>
    <row r="316" spans="1:18" ht="35" thickBot="1">
      <c r="A316" s="95" t="s">
        <v>44</v>
      </c>
      <c r="B316" s="95"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9"/>
      <c r="B317" s="99"/>
      <c r="C317" s="95" t="s">
        <v>60</v>
      </c>
      <c r="D317" s="95" t="s">
        <v>61</v>
      </c>
      <c r="E317" s="95" t="s">
        <v>62</v>
      </c>
      <c r="F317" s="95" t="s">
        <v>63</v>
      </c>
      <c r="G317" s="95" t="s">
        <v>64</v>
      </c>
      <c r="H317" s="95" t="s">
        <v>65</v>
      </c>
      <c r="I317" s="95" t="s">
        <v>66</v>
      </c>
      <c r="J317" s="27" t="s">
        <v>67</v>
      </c>
      <c r="K317" s="27" t="s">
        <v>89</v>
      </c>
      <c r="L317" s="95" t="s">
        <v>69</v>
      </c>
      <c r="M317" s="95" t="s">
        <v>93</v>
      </c>
      <c r="N317" s="95" t="s">
        <v>71</v>
      </c>
      <c r="O317" s="95" t="s">
        <v>72</v>
      </c>
      <c r="P317" s="95" t="s">
        <v>73</v>
      </c>
      <c r="Q317" s="104"/>
      <c r="R317" s="105"/>
    </row>
    <row r="318" spans="1:18" ht="18" thickBot="1">
      <c r="A318" s="96"/>
      <c r="B318" s="96"/>
      <c r="C318" s="96"/>
      <c r="D318" s="96"/>
      <c r="E318" s="96"/>
      <c r="F318" s="96"/>
      <c r="G318" s="96"/>
      <c r="H318" s="96"/>
      <c r="I318" s="96"/>
      <c r="J318" s="28" t="s">
        <v>74</v>
      </c>
      <c r="K318" s="28" t="s">
        <v>75</v>
      </c>
      <c r="L318" s="96"/>
      <c r="M318" s="96"/>
      <c r="N318" s="96"/>
      <c r="O318" s="96"/>
      <c r="P318" s="96"/>
      <c r="Q318" s="104"/>
      <c r="R318" s="105"/>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7" t="s">
        <v>78</v>
      </c>
      <c r="B320" s="98"/>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5" t="s">
        <v>44</v>
      </c>
      <c r="B321" s="95"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102" t="s">
        <v>59</v>
      </c>
      <c r="Q321" s="103"/>
      <c r="R321" s="26"/>
    </row>
    <row r="322" spans="1:18" ht="17">
      <c r="A322" s="99"/>
      <c r="B322" s="99"/>
      <c r="C322" s="95" t="s">
        <v>60</v>
      </c>
      <c r="D322" s="95" t="s">
        <v>61</v>
      </c>
      <c r="E322" s="95" t="s">
        <v>62</v>
      </c>
      <c r="F322" s="95" t="s">
        <v>63</v>
      </c>
      <c r="G322" s="95" t="s">
        <v>64</v>
      </c>
      <c r="H322" s="95" t="s">
        <v>65</v>
      </c>
      <c r="I322" s="95" t="s">
        <v>66</v>
      </c>
      <c r="J322" s="27" t="s">
        <v>67</v>
      </c>
      <c r="K322" s="27" t="s">
        <v>89</v>
      </c>
      <c r="L322" s="95" t="s">
        <v>69</v>
      </c>
      <c r="M322" s="95" t="s">
        <v>70</v>
      </c>
      <c r="N322" s="95" t="s">
        <v>71</v>
      </c>
      <c r="O322" s="95" t="s">
        <v>72</v>
      </c>
      <c r="P322" s="106" t="s">
        <v>73</v>
      </c>
      <c r="Q322" s="107"/>
      <c r="R322" s="104"/>
    </row>
    <row r="323" spans="1:18" ht="18" thickBot="1">
      <c r="A323" s="96"/>
      <c r="B323" s="96"/>
      <c r="C323" s="96"/>
      <c r="D323" s="96"/>
      <c r="E323" s="96"/>
      <c r="F323" s="96"/>
      <c r="G323" s="96"/>
      <c r="H323" s="96"/>
      <c r="I323" s="96"/>
      <c r="J323" s="28" t="s">
        <v>74</v>
      </c>
      <c r="K323" s="28" t="s">
        <v>75</v>
      </c>
      <c r="L323" s="96"/>
      <c r="M323" s="96"/>
      <c r="N323" s="96"/>
      <c r="O323" s="96"/>
      <c r="P323" s="102"/>
      <c r="Q323" s="103"/>
      <c r="R323" s="104"/>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8">
        <v>82414.12</v>
      </c>
      <c r="Q324" s="109"/>
      <c r="R324" s="26"/>
    </row>
    <row r="325" spans="1:18" ht="18" thickBot="1">
      <c r="A325" s="97" t="s">
        <v>78</v>
      </c>
      <c r="B325" s="98"/>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8">
        <v>82414.12</v>
      </c>
      <c r="Q325" s="109"/>
      <c r="R325" s="26"/>
    </row>
    <row r="326" spans="1:18" ht="35" thickBot="1">
      <c r="A326" s="95" t="s">
        <v>44</v>
      </c>
      <c r="B326" s="95"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102" t="s">
        <v>59</v>
      </c>
      <c r="Q326" s="113"/>
      <c r="R326" s="103"/>
    </row>
    <row r="327" spans="1:18" ht="17">
      <c r="A327" s="99"/>
      <c r="B327" s="99"/>
      <c r="C327" s="95" t="s">
        <v>60</v>
      </c>
      <c r="D327" s="95" t="s">
        <v>61</v>
      </c>
      <c r="E327" s="95" t="s">
        <v>62</v>
      </c>
      <c r="F327" s="95" t="s">
        <v>63</v>
      </c>
      <c r="G327" s="95" t="s">
        <v>64</v>
      </c>
      <c r="H327" s="95" t="s">
        <v>65</v>
      </c>
      <c r="I327" s="95" t="s">
        <v>66</v>
      </c>
      <c r="J327" s="27" t="s">
        <v>67</v>
      </c>
      <c r="K327" s="27" t="s">
        <v>89</v>
      </c>
      <c r="L327" s="95" t="s">
        <v>69</v>
      </c>
      <c r="M327" s="95" t="s">
        <v>70</v>
      </c>
      <c r="N327" s="95" t="s">
        <v>71</v>
      </c>
      <c r="O327" s="95" t="s">
        <v>72</v>
      </c>
      <c r="P327" s="106" t="s">
        <v>73</v>
      </c>
      <c r="Q327" s="112"/>
      <c r="R327" s="107"/>
    </row>
    <row r="328" spans="1:18" ht="18" thickBot="1">
      <c r="A328" s="96"/>
      <c r="B328" s="96"/>
      <c r="C328" s="96"/>
      <c r="D328" s="96"/>
      <c r="E328" s="96"/>
      <c r="F328" s="96"/>
      <c r="G328" s="96"/>
      <c r="H328" s="96"/>
      <c r="I328" s="96"/>
      <c r="J328" s="28" t="s">
        <v>74</v>
      </c>
      <c r="K328" s="28" t="s">
        <v>75</v>
      </c>
      <c r="L328" s="96"/>
      <c r="M328" s="96"/>
      <c r="N328" s="96"/>
      <c r="O328" s="96"/>
      <c r="P328" s="102"/>
      <c r="Q328" s="113"/>
      <c r="R328" s="103"/>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8">
        <v>82414.12</v>
      </c>
      <c r="Q329" s="118"/>
      <c r="R329" s="109"/>
    </row>
    <row r="330" spans="1:18" ht="18" thickBot="1">
      <c r="A330" s="100" t="s">
        <v>78</v>
      </c>
      <c r="B330" s="101"/>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8">
        <v>82414.12</v>
      </c>
      <c r="Q330" s="118"/>
      <c r="R330" s="109"/>
    </row>
    <row r="331" spans="1:18">
      <c r="A331" s="33"/>
    </row>
    <row r="332" spans="1:18">
      <c r="A332" s="33"/>
    </row>
    <row r="333" spans="1:18">
      <c r="A333" s="33"/>
    </row>
    <row r="334" spans="1:18">
      <c r="A334" s="16" t="s">
        <v>98</v>
      </c>
    </row>
    <row r="335" spans="1:18">
      <c r="A335" s="16"/>
    </row>
    <row r="336" spans="1:18" ht="17" thickBot="1">
      <c r="A336" s="16"/>
    </row>
    <row r="337" spans="1:18" ht="35" thickBot="1">
      <c r="A337" s="95" t="s">
        <v>44</v>
      </c>
      <c r="B337" s="95"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9"/>
      <c r="B338" s="99"/>
      <c r="C338" s="95" t="s">
        <v>60</v>
      </c>
      <c r="D338" s="95" t="s">
        <v>61</v>
      </c>
      <c r="E338" s="95" t="s">
        <v>62</v>
      </c>
      <c r="F338" s="95" t="s">
        <v>63</v>
      </c>
      <c r="G338" s="95" t="s">
        <v>64</v>
      </c>
      <c r="H338" s="95" t="s">
        <v>65</v>
      </c>
      <c r="I338" s="95" t="s">
        <v>66</v>
      </c>
      <c r="J338" s="27" t="s">
        <v>67</v>
      </c>
      <c r="K338" s="95" t="s">
        <v>89</v>
      </c>
      <c r="L338" s="95" t="s">
        <v>69</v>
      </c>
      <c r="M338" s="95" t="s">
        <v>70</v>
      </c>
      <c r="N338" s="95" t="s">
        <v>71</v>
      </c>
      <c r="O338" s="95" t="s">
        <v>72</v>
      </c>
      <c r="P338" s="95" t="s">
        <v>73</v>
      </c>
      <c r="Q338" s="104"/>
      <c r="R338" s="105"/>
    </row>
    <row r="339" spans="1:18" ht="18" thickBot="1">
      <c r="A339" s="96"/>
      <c r="B339" s="96"/>
      <c r="C339" s="96"/>
      <c r="D339" s="96"/>
      <c r="E339" s="96"/>
      <c r="F339" s="96"/>
      <c r="G339" s="96"/>
      <c r="H339" s="96"/>
      <c r="I339" s="96"/>
      <c r="J339" s="28" t="s">
        <v>74</v>
      </c>
      <c r="K339" s="96"/>
      <c r="L339" s="96"/>
      <c r="M339" s="96"/>
      <c r="N339" s="96"/>
      <c r="O339" s="96"/>
      <c r="P339" s="96"/>
      <c r="Q339" s="104"/>
      <c r="R339" s="105"/>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7" t="s">
        <v>78</v>
      </c>
      <c r="B341" s="98"/>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5" t="s">
        <v>44</v>
      </c>
      <c r="B342" s="95"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102" t="s">
        <v>59</v>
      </c>
      <c r="Q342" s="103"/>
      <c r="R342" s="26"/>
    </row>
    <row r="343" spans="1:18" ht="17">
      <c r="A343" s="99"/>
      <c r="B343" s="99"/>
      <c r="C343" s="95" t="s">
        <v>60</v>
      </c>
      <c r="D343" s="95" t="s">
        <v>61</v>
      </c>
      <c r="E343" s="95" t="s">
        <v>62</v>
      </c>
      <c r="F343" s="95" t="s">
        <v>63</v>
      </c>
      <c r="G343" s="95" t="s">
        <v>64</v>
      </c>
      <c r="H343" s="95" t="s">
        <v>65</v>
      </c>
      <c r="I343" s="95" t="s">
        <v>66</v>
      </c>
      <c r="J343" s="27" t="s">
        <v>67</v>
      </c>
      <c r="K343" s="95" t="s">
        <v>89</v>
      </c>
      <c r="L343" s="95" t="s">
        <v>69</v>
      </c>
      <c r="M343" s="95" t="s">
        <v>70</v>
      </c>
      <c r="N343" s="95" t="s">
        <v>71</v>
      </c>
      <c r="O343" s="95" t="s">
        <v>72</v>
      </c>
      <c r="P343" s="106" t="s">
        <v>73</v>
      </c>
      <c r="Q343" s="107"/>
      <c r="R343" s="104"/>
    </row>
    <row r="344" spans="1:18" ht="18" thickBot="1">
      <c r="A344" s="96"/>
      <c r="B344" s="96"/>
      <c r="C344" s="96"/>
      <c r="D344" s="96"/>
      <c r="E344" s="96"/>
      <c r="F344" s="96"/>
      <c r="G344" s="96"/>
      <c r="H344" s="96"/>
      <c r="I344" s="96"/>
      <c r="J344" s="28" t="s">
        <v>74</v>
      </c>
      <c r="K344" s="96"/>
      <c r="L344" s="96"/>
      <c r="M344" s="96"/>
      <c r="N344" s="96"/>
      <c r="O344" s="96"/>
      <c r="P344" s="102"/>
      <c r="Q344" s="103"/>
      <c r="R344" s="104"/>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8">
        <v>94856.06</v>
      </c>
      <c r="Q345" s="109"/>
      <c r="R345" s="26"/>
    </row>
    <row r="346" spans="1:18" ht="18" thickBot="1">
      <c r="A346" s="97" t="s">
        <v>78</v>
      </c>
      <c r="B346" s="98"/>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8">
        <v>94856.06</v>
      </c>
      <c r="Q346" s="109"/>
      <c r="R346" s="26"/>
    </row>
    <row r="347" spans="1:18" ht="35" thickBot="1">
      <c r="A347" s="95" t="s">
        <v>44</v>
      </c>
      <c r="B347" s="95"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102" t="s">
        <v>59</v>
      </c>
      <c r="Q347" s="113"/>
      <c r="R347" s="103"/>
    </row>
    <row r="348" spans="1:18" ht="17">
      <c r="A348" s="99"/>
      <c r="B348" s="99"/>
      <c r="C348" s="95" t="s">
        <v>60</v>
      </c>
      <c r="D348" s="95" t="s">
        <v>61</v>
      </c>
      <c r="E348" s="95" t="s">
        <v>62</v>
      </c>
      <c r="F348" s="95" t="s">
        <v>63</v>
      </c>
      <c r="G348" s="95" t="s">
        <v>64</v>
      </c>
      <c r="H348" s="95" t="s">
        <v>65</v>
      </c>
      <c r="I348" s="95" t="s">
        <v>66</v>
      </c>
      <c r="J348" s="27" t="s">
        <v>67</v>
      </c>
      <c r="K348" s="95" t="s">
        <v>89</v>
      </c>
      <c r="L348" s="95" t="s">
        <v>69</v>
      </c>
      <c r="M348" s="95" t="s">
        <v>70</v>
      </c>
      <c r="N348" s="95" t="s">
        <v>71</v>
      </c>
      <c r="O348" s="95" t="s">
        <v>72</v>
      </c>
      <c r="P348" s="106" t="s">
        <v>73</v>
      </c>
      <c r="Q348" s="112"/>
      <c r="R348" s="107"/>
    </row>
    <row r="349" spans="1:18" ht="18" thickBot="1">
      <c r="A349" s="96"/>
      <c r="B349" s="96"/>
      <c r="C349" s="96"/>
      <c r="D349" s="96"/>
      <c r="E349" s="96"/>
      <c r="F349" s="96"/>
      <c r="G349" s="96"/>
      <c r="H349" s="96"/>
      <c r="I349" s="96"/>
      <c r="J349" s="28" t="s">
        <v>74</v>
      </c>
      <c r="K349" s="96"/>
      <c r="L349" s="96"/>
      <c r="M349" s="96"/>
      <c r="N349" s="96"/>
      <c r="O349" s="96"/>
      <c r="P349" s="102"/>
      <c r="Q349" s="113"/>
      <c r="R349" s="103"/>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8">
        <v>94856.06</v>
      </c>
      <c r="Q350" s="118"/>
      <c r="R350" s="109"/>
    </row>
    <row r="351" spans="1:18" ht="18" thickBot="1">
      <c r="A351" s="100" t="s">
        <v>78</v>
      </c>
      <c r="B351" s="101"/>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8">
        <v>94856.06</v>
      </c>
      <c r="Q351" s="118"/>
      <c r="R351" s="109"/>
    </row>
    <row r="352" spans="1:18" ht="35" thickBot="1">
      <c r="A352" s="95" t="s">
        <v>44</v>
      </c>
      <c r="B352" s="95"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100" t="s">
        <v>59</v>
      </c>
      <c r="Q352" s="119"/>
      <c r="R352" s="101"/>
    </row>
    <row r="353" spans="1:18" ht="17">
      <c r="A353" s="99"/>
      <c r="B353" s="99"/>
      <c r="C353" s="95" t="s">
        <v>60</v>
      </c>
      <c r="D353" s="95" t="s">
        <v>61</v>
      </c>
      <c r="E353" s="95" t="s">
        <v>62</v>
      </c>
      <c r="F353" s="95" t="s">
        <v>63</v>
      </c>
      <c r="G353" s="95" t="s">
        <v>64</v>
      </c>
      <c r="H353" s="95" t="s">
        <v>65</v>
      </c>
      <c r="I353" s="95" t="s">
        <v>66</v>
      </c>
      <c r="J353" s="27" t="s">
        <v>67</v>
      </c>
      <c r="K353" s="95" t="s">
        <v>89</v>
      </c>
      <c r="L353" s="95" t="s">
        <v>69</v>
      </c>
      <c r="M353" s="95" t="s">
        <v>70</v>
      </c>
      <c r="N353" s="95" t="s">
        <v>71</v>
      </c>
      <c r="O353" s="95" t="s">
        <v>72</v>
      </c>
      <c r="P353" s="106" t="s">
        <v>73</v>
      </c>
      <c r="Q353" s="112"/>
      <c r="R353" s="107"/>
    </row>
    <row r="354" spans="1:18" ht="18" thickBot="1">
      <c r="A354" s="96"/>
      <c r="B354" s="96"/>
      <c r="C354" s="96"/>
      <c r="D354" s="96"/>
      <c r="E354" s="96"/>
      <c r="F354" s="96"/>
      <c r="G354" s="96"/>
      <c r="H354" s="96"/>
      <c r="I354" s="96"/>
      <c r="J354" s="28" t="s">
        <v>74</v>
      </c>
      <c r="K354" s="96"/>
      <c r="L354" s="96"/>
      <c r="M354" s="96"/>
      <c r="N354" s="96"/>
      <c r="O354" s="96"/>
      <c r="P354" s="102"/>
      <c r="Q354" s="113"/>
      <c r="R354" s="103"/>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8">
        <v>94856.06</v>
      </c>
      <c r="Q355" s="118"/>
      <c r="R355" s="109"/>
    </row>
    <row r="356" spans="1:18" ht="18" thickBot="1">
      <c r="A356" s="97" t="s">
        <v>78</v>
      </c>
      <c r="B356" s="98"/>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8">
        <v>94856.06</v>
      </c>
      <c r="Q356" s="118"/>
      <c r="R356" s="109"/>
    </row>
    <row r="357" spans="1:18">
      <c r="A357" s="37" t="s">
        <v>98</v>
      </c>
    </row>
    <row r="358" spans="1:18" ht="17" thickBot="1">
      <c r="A358" s="33"/>
    </row>
    <row r="359" spans="1:18" ht="35" thickBot="1">
      <c r="A359" s="95" t="s">
        <v>44</v>
      </c>
      <c r="B359" s="95"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9"/>
      <c r="B360" s="99"/>
      <c r="C360" s="95" t="s">
        <v>60</v>
      </c>
      <c r="D360" s="95" t="s">
        <v>61</v>
      </c>
      <c r="E360" s="95" t="s">
        <v>62</v>
      </c>
      <c r="F360" s="95" t="s">
        <v>63</v>
      </c>
      <c r="G360" s="95" t="s">
        <v>64</v>
      </c>
      <c r="H360" s="95" t="s">
        <v>65</v>
      </c>
      <c r="I360" s="95" t="s">
        <v>66</v>
      </c>
      <c r="J360" s="27" t="s">
        <v>67</v>
      </c>
      <c r="K360" s="95" t="s">
        <v>89</v>
      </c>
      <c r="L360" s="95" t="s">
        <v>69</v>
      </c>
      <c r="M360" s="95" t="s">
        <v>70</v>
      </c>
      <c r="N360" s="95" t="s">
        <v>71</v>
      </c>
      <c r="O360" s="95" t="s">
        <v>72</v>
      </c>
      <c r="P360" s="95" t="s">
        <v>73</v>
      </c>
      <c r="Q360" s="104"/>
      <c r="R360" s="105"/>
    </row>
    <row r="361" spans="1:18" ht="18" thickBot="1">
      <c r="A361" s="96"/>
      <c r="B361" s="96"/>
      <c r="C361" s="96"/>
      <c r="D361" s="96"/>
      <c r="E361" s="96"/>
      <c r="F361" s="96"/>
      <c r="G361" s="96"/>
      <c r="H361" s="96"/>
      <c r="I361" s="96"/>
      <c r="J361" s="28" t="s">
        <v>74</v>
      </c>
      <c r="K361" s="96"/>
      <c r="L361" s="96"/>
      <c r="M361" s="96"/>
      <c r="N361" s="96"/>
      <c r="O361" s="96"/>
      <c r="P361" s="96"/>
      <c r="Q361" s="104"/>
      <c r="R361" s="105"/>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7" t="s">
        <v>78</v>
      </c>
      <c r="B363" s="98"/>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5" t="s">
        <v>44</v>
      </c>
      <c r="B364" s="95"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102" t="s">
        <v>59</v>
      </c>
      <c r="Q364" s="103"/>
      <c r="R364" s="26"/>
    </row>
    <row r="365" spans="1:18" ht="17">
      <c r="A365" s="99"/>
      <c r="B365" s="99"/>
      <c r="C365" s="95" t="s">
        <v>60</v>
      </c>
      <c r="D365" s="95" t="s">
        <v>61</v>
      </c>
      <c r="E365" s="95" t="s">
        <v>62</v>
      </c>
      <c r="F365" s="95" t="s">
        <v>63</v>
      </c>
      <c r="G365" s="95" t="s">
        <v>64</v>
      </c>
      <c r="H365" s="95" t="s">
        <v>65</v>
      </c>
      <c r="I365" s="95" t="s">
        <v>66</v>
      </c>
      <c r="J365" s="27" t="s">
        <v>67</v>
      </c>
      <c r="K365" s="95" t="s">
        <v>89</v>
      </c>
      <c r="L365" s="95" t="s">
        <v>69</v>
      </c>
      <c r="M365" s="95" t="s">
        <v>70</v>
      </c>
      <c r="N365" s="95" t="s">
        <v>71</v>
      </c>
      <c r="O365" s="95" t="s">
        <v>72</v>
      </c>
      <c r="P365" s="106" t="s">
        <v>73</v>
      </c>
      <c r="Q365" s="107"/>
      <c r="R365" s="104"/>
    </row>
    <row r="366" spans="1:18" ht="18" thickBot="1">
      <c r="A366" s="96"/>
      <c r="B366" s="96"/>
      <c r="C366" s="96"/>
      <c r="D366" s="96"/>
      <c r="E366" s="96"/>
      <c r="F366" s="96"/>
      <c r="G366" s="96"/>
      <c r="H366" s="96"/>
      <c r="I366" s="96"/>
      <c r="J366" s="28" t="s">
        <v>74</v>
      </c>
      <c r="K366" s="96"/>
      <c r="L366" s="96"/>
      <c r="M366" s="96"/>
      <c r="N366" s="96"/>
      <c r="O366" s="96"/>
      <c r="P366" s="102"/>
      <c r="Q366" s="103"/>
      <c r="R366" s="104"/>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8">
        <v>118333.49</v>
      </c>
      <c r="Q367" s="109"/>
      <c r="R367" s="26"/>
    </row>
    <row r="368" spans="1:18" ht="18" thickBot="1">
      <c r="A368" s="97" t="s">
        <v>78</v>
      </c>
      <c r="B368" s="98"/>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8">
        <v>118333.49</v>
      </c>
      <c r="Q368" s="109"/>
      <c r="R368" s="26"/>
    </row>
    <row r="369" spans="1:18" ht="35" thickBot="1">
      <c r="A369" s="95" t="s">
        <v>44</v>
      </c>
      <c r="B369" s="95"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102" t="s">
        <v>59</v>
      </c>
      <c r="Q369" s="113"/>
      <c r="R369" s="103"/>
    </row>
    <row r="370" spans="1:18" ht="17">
      <c r="A370" s="99"/>
      <c r="B370" s="99"/>
      <c r="C370" s="95" t="s">
        <v>60</v>
      </c>
      <c r="D370" s="95" t="s">
        <v>61</v>
      </c>
      <c r="E370" s="95" t="s">
        <v>62</v>
      </c>
      <c r="F370" s="95" t="s">
        <v>63</v>
      </c>
      <c r="G370" s="95" t="s">
        <v>64</v>
      </c>
      <c r="H370" s="95" t="s">
        <v>65</v>
      </c>
      <c r="I370" s="95" t="s">
        <v>66</v>
      </c>
      <c r="J370" s="27" t="s">
        <v>67</v>
      </c>
      <c r="K370" s="95" t="s">
        <v>89</v>
      </c>
      <c r="L370" s="95" t="s">
        <v>69</v>
      </c>
      <c r="M370" s="95" t="s">
        <v>70</v>
      </c>
      <c r="N370" s="95" t="s">
        <v>71</v>
      </c>
      <c r="O370" s="95" t="s">
        <v>72</v>
      </c>
      <c r="P370" s="106" t="s">
        <v>73</v>
      </c>
      <c r="Q370" s="112"/>
      <c r="R370" s="107"/>
    </row>
    <row r="371" spans="1:18" ht="18" thickBot="1">
      <c r="A371" s="96"/>
      <c r="B371" s="96"/>
      <c r="C371" s="96"/>
      <c r="D371" s="96"/>
      <c r="E371" s="96"/>
      <c r="F371" s="96"/>
      <c r="G371" s="96"/>
      <c r="H371" s="96"/>
      <c r="I371" s="96"/>
      <c r="J371" s="28" t="s">
        <v>74</v>
      </c>
      <c r="K371" s="96"/>
      <c r="L371" s="96"/>
      <c r="M371" s="96"/>
      <c r="N371" s="96"/>
      <c r="O371" s="96"/>
      <c r="P371" s="102"/>
      <c r="Q371" s="113"/>
      <c r="R371" s="103"/>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8">
        <v>82414.12</v>
      </c>
      <c r="Q372" s="118"/>
      <c r="R372" s="109"/>
    </row>
    <row r="373" spans="1:18" ht="18" thickBot="1">
      <c r="A373" s="100" t="s">
        <v>78</v>
      </c>
      <c r="B373" s="101"/>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8">
        <v>82414.12</v>
      </c>
      <c r="Q373" s="118"/>
      <c r="R373" s="109"/>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5" t="s">
        <v>44</v>
      </c>
      <c r="B381" s="95"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9"/>
      <c r="B382" s="99"/>
      <c r="C382" s="95" t="s">
        <v>60</v>
      </c>
      <c r="D382" s="95" t="s">
        <v>61</v>
      </c>
      <c r="E382" s="95" t="s">
        <v>62</v>
      </c>
      <c r="F382" s="95" t="s">
        <v>63</v>
      </c>
      <c r="G382" s="95" t="s">
        <v>64</v>
      </c>
      <c r="H382" s="95" t="s">
        <v>65</v>
      </c>
      <c r="I382" s="95" t="s">
        <v>66</v>
      </c>
      <c r="J382" s="27" t="s">
        <v>67</v>
      </c>
      <c r="K382" s="27" t="s">
        <v>89</v>
      </c>
      <c r="L382" s="95" t="s">
        <v>69</v>
      </c>
      <c r="M382" s="95" t="s">
        <v>70</v>
      </c>
      <c r="N382" s="95" t="s">
        <v>71</v>
      </c>
      <c r="O382" s="95" t="s">
        <v>72</v>
      </c>
      <c r="P382" s="95" t="s">
        <v>73</v>
      </c>
      <c r="Q382" s="104"/>
      <c r="R382" s="105"/>
    </row>
    <row r="383" spans="1:18" ht="18" thickBot="1">
      <c r="A383" s="96"/>
      <c r="B383" s="96"/>
      <c r="C383" s="96"/>
      <c r="D383" s="96"/>
      <c r="E383" s="96"/>
      <c r="F383" s="96"/>
      <c r="G383" s="96"/>
      <c r="H383" s="96"/>
      <c r="I383" s="96"/>
      <c r="J383" s="28" t="s">
        <v>74</v>
      </c>
      <c r="K383" s="28" t="s">
        <v>75</v>
      </c>
      <c r="L383" s="96"/>
      <c r="M383" s="96"/>
      <c r="N383" s="96"/>
      <c r="O383" s="96"/>
      <c r="P383" s="96"/>
      <c r="Q383" s="104"/>
      <c r="R383" s="105"/>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7" t="s">
        <v>78</v>
      </c>
      <c r="B385" s="98"/>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5" t="s">
        <v>44</v>
      </c>
      <c r="B386" s="95"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102" t="s">
        <v>59</v>
      </c>
      <c r="Q386" s="103"/>
      <c r="R386" s="26"/>
    </row>
    <row r="387" spans="1:18" ht="17">
      <c r="A387" s="99"/>
      <c r="B387" s="99"/>
      <c r="C387" s="95" t="s">
        <v>60</v>
      </c>
      <c r="D387" s="95" t="s">
        <v>61</v>
      </c>
      <c r="E387" s="95" t="s">
        <v>62</v>
      </c>
      <c r="F387" s="95" t="s">
        <v>63</v>
      </c>
      <c r="G387" s="95" t="s">
        <v>64</v>
      </c>
      <c r="H387" s="95" t="s">
        <v>65</v>
      </c>
      <c r="I387" s="95" t="s">
        <v>66</v>
      </c>
      <c r="J387" s="27" t="s">
        <v>67</v>
      </c>
      <c r="K387" s="27" t="s">
        <v>89</v>
      </c>
      <c r="L387" s="95" t="s">
        <v>69</v>
      </c>
      <c r="M387" s="95" t="s">
        <v>70</v>
      </c>
      <c r="N387" s="95" t="s">
        <v>71</v>
      </c>
      <c r="O387" s="95" t="s">
        <v>72</v>
      </c>
      <c r="P387" s="106" t="s">
        <v>73</v>
      </c>
      <c r="Q387" s="107"/>
      <c r="R387" s="104"/>
    </row>
    <row r="388" spans="1:18" ht="18" thickBot="1">
      <c r="A388" s="96"/>
      <c r="B388" s="96"/>
      <c r="C388" s="96"/>
      <c r="D388" s="96"/>
      <c r="E388" s="96"/>
      <c r="F388" s="96"/>
      <c r="G388" s="96"/>
      <c r="H388" s="96"/>
      <c r="I388" s="96"/>
      <c r="J388" s="28" t="s">
        <v>74</v>
      </c>
      <c r="K388" s="28" t="s">
        <v>75</v>
      </c>
      <c r="L388" s="96"/>
      <c r="M388" s="96"/>
      <c r="N388" s="96"/>
      <c r="O388" s="96"/>
      <c r="P388" s="102"/>
      <c r="Q388" s="103"/>
      <c r="R388" s="104"/>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8">
        <v>118333.49</v>
      </c>
      <c r="Q389" s="109"/>
      <c r="R389" s="26"/>
    </row>
    <row r="390" spans="1:18" ht="18" thickBot="1">
      <c r="A390" s="97" t="s">
        <v>78</v>
      </c>
      <c r="B390" s="98"/>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8">
        <v>118333.49</v>
      </c>
      <c r="Q390" s="109"/>
      <c r="R390" s="26"/>
    </row>
    <row r="391" spans="1:18" ht="35" thickBot="1">
      <c r="A391" s="95" t="s">
        <v>44</v>
      </c>
      <c r="B391" s="95"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102" t="s">
        <v>59</v>
      </c>
      <c r="Q391" s="113"/>
      <c r="R391" s="103"/>
    </row>
    <row r="392" spans="1:18" ht="17">
      <c r="A392" s="99"/>
      <c r="B392" s="99"/>
      <c r="C392" s="95" t="s">
        <v>60</v>
      </c>
      <c r="D392" s="95" t="s">
        <v>61</v>
      </c>
      <c r="E392" s="95" t="s">
        <v>62</v>
      </c>
      <c r="F392" s="95" t="s">
        <v>63</v>
      </c>
      <c r="G392" s="95" t="s">
        <v>64</v>
      </c>
      <c r="H392" s="95" t="s">
        <v>65</v>
      </c>
      <c r="I392" s="95" t="s">
        <v>66</v>
      </c>
      <c r="J392" s="27" t="s">
        <v>67</v>
      </c>
      <c r="K392" s="27" t="s">
        <v>89</v>
      </c>
      <c r="L392" s="95" t="s">
        <v>69</v>
      </c>
      <c r="M392" s="95" t="s">
        <v>70</v>
      </c>
      <c r="N392" s="95" t="s">
        <v>71</v>
      </c>
      <c r="O392" s="95" t="s">
        <v>72</v>
      </c>
      <c r="P392" s="106" t="s">
        <v>73</v>
      </c>
      <c r="Q392" s="112"/>
      <c r="R392" s="107"/>
    </row>
    <row r="393" spans="1:18" ht="18" thickBot="1">
      <c r="A393" s="96"/>
      <c r="B393" s="96"/>
      <c r="C393" s="96"/>
      <c r="D393" s="96"/>
      <c r="E393" s="96"/>
      <c r="F393" s="96"/>
      <c r="G393" s="96"/>
      <c r="H393" s="96"/>
      <c r="I393" s="96"/>
      <c r="J393" s="28" t="s">
        <v>74</v>
      </c>
      <c r="K393" s="28" t="s">
        <v>75</v>
      </c>
      <c r="L393" s="96"/>
      <c r="M393" s="96"/>
      <c r="N393" s="96"/>
      <c r="O393" s="96"/>
      <c r="P393" s="102"/>
      <c r="Q393" s="113"/>
      <c r="R393" s="103"/>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8">
        <v>7446709.5800000001</v>
      </c>
      <c r="Q394" s="118"/>
      <c r="R394" s="109"/>
    </row>
    <row r="395" spans="1:18" ht="18" thickBot="1">
      <c r="A395" s="100" t="s">
        <v>78</v>
      </c>
      <c r="B395" s="101"/>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8">
        <v>7446709.5800000001</v>
      </c>
      <c r="Q395" s="118"/>
      <c r="R395" s="109"/>
    </row>
    <row r="396" spans="1:18">
      <c r="A396" s="16"/>
    </row>
    <row r="397" spans="1:18">
      <c r="A397" s="16" t="s">
        <v>99</v>
      </c>
    </row>
    <row r="398" spans="1:18" ht="17" thickBot="1">
      <c r="A398" s="16"/>
    </row>
    <row r="399" spans="1:18" ht="35" thickBot="1">
      <c r="A399" s="95" t="s">
        <v>44</v>
      </c>
      <c r="B399" s="95"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9"/>
      <c r="B400" s="99"/>
      <c r="C400" s="95" t="s">
        <v>60</v>
      </c>
      <c r="D400" s="95" t="s">
        <v>61</v>
      </c>
      <c r="E400" s="95" t="s">
        <v>62</v>
      </c>
      <c r="F400" s="95" t="s">
        <v>63</v>
      </c>
      <c r="G400" s="95" t="s">
        <v>64</v>
      </c>
      <c r="H400" s="95" t="s">
        <v>65</v>
      </c>
      <c r="I400" s="95" t="s">
        <v>66</v>
      </c>
      <c r="J400" s="27" t="s">
        <v>67</v>
      </c>
      <c r="K400" s="27" t="s">
        <v>89</v>
      </c>
      <c r="L400" s="95" t="s">
        <v>69</v>
      </c>
      <c r="M400" s="95" t="s">
        <v>70</v>
      </c>
      <c r="N400" s="95" t="s">
        <v>71</v>
      </c>
      <c r="O400" s="95" t="s">
        <v>72</v>
      </c>
      <c r="P400" s="95" t="s">
        <v>73</v>
      </c>
      <c r="Q400" s="104"/>
      <c r="R400" s="105"/>
    </row>
    <row r="401" spans="1:18" ht="18" thickBot="1">
      <c r="A401" s="96"/>
      <c r="B401" s="96"/>
      <c r="C401" s="96"/>
      <c r="D401" s="96"/>
      <c r="E401" s="96"/>
      <c r="F401" s="96"/>
      <c r="G401" s="96"/>
      <c r="H401" s="96"/>
      <c r="I401" s="96"/>
      <c r="J401" s="28" t="s">
        <v>74</v>
      </c>
      <c r="K401" s="28" t="s">
        <v>75</v>
      </c>
      <c r="L401" s="96"/>
      <c r="M401" s="96"/>
      <c r="N401" s="96"/>
      <c r="O401" s="96"/>
      <c r="P401" s="96"/>
      <c r="Q401" s="104"/>
      <c r="R401" s="105"/>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7" t="s">
        <v>78</v>
      </c>
      <c r="B403" s="98"/>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5" t="s">
        <v>44</v>
      </c>
      <c r="B404" s="95"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102" t="s">
        <v>59</v>
      </c>
      <c r="Q404" s="103"/>
      <c r="R404" s="26"/>
    </row>
    <row r="405" spans="1:18" ht="17">
      <c r="A405" s="99"/>
      <c r="B405" s="99"/>
      <c r="C405" s="95" t="s">
        <v>60</v>
      </c>
      <c r="D405" s="95" t="s">
        <v>61</v>
      </c>
      <c r="E405" s="95" t="s">
        <v>62</v>
      </c>
      <c r="F405" s="95" t="s">
        <v>63</v>
      </c>
      <c r="G405" s="95" t="s">
        <v>64</v>
      </c>
      <c r="H405" s="95" t="s">
        <v>65</v>
      </c>
      <c r="I405" s="95" t="s">
        <v>66</v>
      </c>
      <c r="J405" s="27" t="s">
        <v>67</v>
      </c>
      <c r="K405" s="27" t="s">
        <v>89</v>
      </c>
      <c r="L405" s="95" t="s">
        <v>69</v>
      </c>
      <c r="M405" s="95" t="s">
        <v>70</v>
      </c>
      <c r="N405" s="95" t="s">
        <v>71</v>
      </c>
      <c r="O405" s="95" t="s">
        <v>72</v>
      </c>
      <c r="P405" s="106" t="s">
        <v>73</v>
      </c>
      <c r="Q405" s="107"/>
      <c r="R405" s="104"/>
    </row>
    <row r="406" spans="1:18" ht="18" thickBot="1">
      <c r="A406" s="96"/>
      <c r="B406" s="96"/>
      <c r="C406" s="96"/>
      <c r="D406" s="96"/>
      <c r="E406" s="96"/>
      <c r="F406" s="96"/>
      <c r="G406" s="96"/>
      <c r="H406" s="96"/>
      <c r="I406" s="96"/>
      <c r="J406" s="28" t="s">
        <v>74</v>
      </c>
      <c r="K406" s="28" t="s">
        <v>75</v>
      </c>
      <c r="L406" s="96"/>
      <c r="M406" s="96"/>
      <c r="N406" s="96"/>
      <c r="O406" s="96"/>
      <c r="P406" s="102"/>
      <c r="Q406" s="103"/>
      <c r="R406" s="104"/>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8">
        <v>236666.98</v>
      </c>
      <c r="Q407" s="109"/>
      <c r="R407" s="26"/>
    </row>
    <row r="408" spans="1:18" ht="18" thickBot="1">
      <c r="A408" s="97" t="s">
        <v>78</v>
      </c>
      <c r="B408" s="98"/>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8">
        <v>236666.98</v>
      </c>
      <c r="Q408" s="109"/>
      <c r="R408" s="26"/>
    </row>
    <row r="409" spans="1:18" ht="35" thickBot="1">
      <c r="A409" s="95" t="s">
        <v>44</v>
      </c>
      <c r="B409" s="95"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102" t="s">
        <v>59</v>
      </c>
      <c r="Q409" s="113"/>
      <c r="R409" s="103"/>
    </row>
    <row r="410" spans="1:18" ht="17">
      <c r="A410" s="99"/>
      <c r="B410" s="99"/>
      <c r="C410" s="95" t="s">
        <v>60</v>
      </c>
      <c r="D410" s="95" t="s">
        <v>61</v>
      </c>
      <c r="E410" s="95" t="s">
        <v>62</v>
      </c>
      <c r="F410" s="95" t="s">
        <v>63</v>
      </c>
      <c r="G410" s="95" t="s">
        <v>64</v>
      </c>
      <c r="H410" s="95" t="s">
        <v>65</v>
      </c>
      <c r="I410" s="95" t="s">
        <v>66</v>
      </c>
      <c r="J410" s="27" t="s">
        <v>67</v>
      </c>
      <c r="K410" s="27" t="s">
        <v>89</v>
      </c>
      <c r="L410" s="95" t="s">
        <v>69</v>
      </c>
      <c r="M410" s="95" t="s">
        <v>70</v>
      </c>
      <c r="N410" s="95" t="s">
        <v>71</v>
      </c>
      <c r="O410" s="95" t="s">
        <v>72</v>
      </c>
      <c r="P410" s="106" t="s">
        <v>73</v>
      </c>
      <c r="Q410" s="112"/>
      <c r="R410" s="107"/>
    </row>
    <row r="411" spans="1:18" ht="18" thickBot="1">
      <c r="A411" s="96"/>
      <c r="B411" s="96"/>
      <c r="C411" s="96"/>
      <c r="D411" s="96"/>
      <c r="E411" s="96"/>
      <c r="F411" s="96"/>
      <c r="G411" s="96"/>
      <c r="H411" s="96"/>
      <c r="I411" s="96"/>
      <c r="J411" s="28" t="s">
        <v>74</v>
      </c>
      <c r="K411" s="28" t="s">
        <v>75</v>
      </c>
      <c r="L411" s="96"/>
      <c r="M411" s="96"/>
      <c r="N411" s="96"/>
      <c r="O411" s="96"/>
      <c r="P411" s="102"/>
      <c r="Q411" s="113"/>
      <c r="R411" s="103"/>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8">
        <v>118333.49</v>
      </c>
      <c r="Q412" s="118"/>
      <c r="R412" s="109"/>
    </row>
    <row r="413" spans="1:18" ht="18" thickBot="1">
      <c r="A413" s="100" t="s">
        <v>78</v>
      </c>
      <c r="B413" s="101"/>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8">
        <v>118333.49</v>
      </c>
      <c r="Q413" s="118"/>
      <c r="R413" s="109"/>
    </row>
    <row r="414" spans="1:18">
      <c r="A414" s="32"/>
    </row>
    <row r="415" spans="1:18">
      <c r="A415" s="16"/>
    </row>
    <row r="416" spans="1:18">
      <c r="A416" s="16"/>
    </row>
    <row r="417" spans="1:18">
      <c r="A417" s="16" t="s">
        <v>99</v>
      </c>
    </row>
    <row r="418" spans="1:18" ht="17" thickBot="1">
      <c r="A418" s="24"/>
    </row>
    <row r="419" spans="1:18" ht="35" thickBot="1">
      <c r="A419" s="95" t="s">
        <v>44</v>
      </c>
      <c r="B419" s="95"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9"/>
      <c r="B420" s="99"/>
      <c r="C420" s="95" t="s">
        <v>60</v>
      </c>
      <c r="D420" s="95" t="s">
        <v>61</v>
      </c>
      <c r="E420" s="95" t="s">
        <v>62</v>
      </c>
      <c r="F420" s="95" t="s">
        <v>63</v>
      </c>
      <c r="G420" s="95" t="s">
        <v>64</v>
      </c>
      <c r="H420" s="95" t="s">
        <v>65</v>
      </c>
      <c r="I420" s="95" t="s">
        <v>66</v>
      </c>
      <c r="J420" s="27" t="s">
        <v>67</v>
      </c>
      <c r="K420" s="27" t="s">
        <v>89</v>
      </c>
      <c r="L420" s="95" t="s">
        <v>69</v>
      </c>
      <c r="M420" s="95" t="s">
        <v>70</v>
      </c>
      <c r="N420" s="95" t="s">
        <v>71</v>
      </c>
      <c r="O420" s="95" t="s">
        <v>72</v>
      </c>
      <c r="P420" s="95" t="s">
        <v>73</v>
      </c>
      <c r="Q420" s="104"/>
      <c r="R420" s="105"/>
    </row>
    <row r="421" spans="1:18" ht="18" thickBot="1">
      <c r="A421" s="96"/>
      <c r="B421" s="96"/>
      <c r="C421" s="96"/>
      <c r="D421" s="96"/>
      <c r="E421" s="96"/>
      <c r="F421" s="96"/>
      <c r="G421" s="96"/>
      <c r="H421" s="96"/>
      <c r="I421" s="96"/>
      <c r="J421" s="28" t="s">
        <v>74</v>
      </c>
      <c r="K421" s="28" t="s">
        <v>75</v>
      </c>
      <c r="L421" s="96"/>
      <c r="M421" s="96"/>
      <c r="N421" s="96"/>
      <c r="O421" s="96"/>
      <c r="P421" s="96"/>
      <c r="Q421" s="104"/>
      <c r="R421" s="105"/>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7" t="s">
        <v>78</v>
      </c>
      <c r="B423" s="98"/>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5" t="s">
        <v>44</v>
      </c>
      <c r="B424" s="95"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102" t="s">
        <v>59</v>
      </c>
      <c r="Q424" s="103"/>
      <c r="R424" s="26"/>
    </row>
    <row r="425" spans="1:18" ht="17">
      <c r="A425" s="99"/>
      <c r="B425" s="99"/>
      <c r="C425" s="95" t="s">
        <v>60</v>
      </c>
      <c r="D425" s="95" t="s">
        <v>61</v>
      </c>
      <c r="E425" s="95" t="s">
        <v>62</v>
      </c>
      <c r="F425" s="95" t="s">
        <v>63</v>
      </c>
      <c r="G425" s="95" t="s">
        <v>64</v>
      </c>
      <c r="H425" s="95" t="s">
        <v>65</v>
      </c>
      <c r="I425" s="95" t="s">
        <v>66</v>
      </c>
      <c r="J425" s="27" t="s">
        <v>67</v>
      </c>
      <c r="K425" s="27" t="s">
        <v>89</v>
      </c>
      <c r="L425" s="95" t="s">
        <v>69</v>
      </c>
      <c r="M425" s="95" t="s">
        <v>70</v>
      </c>
      <c r="N425" s="95" t="s">
        <v>71</v>
      </c>
      <c r="O425" s="95" t="s">
        <v>72</v>
      </c>
      <c r="P425" s="106" t="s">
        <v>73</v>
      </c>
      <c r="Q425" s="107"/>
      <c r="R425" s="104"/>
    </row>
    <row r="426" spans="1:18" ht="18" thickBot="1">
      <c r="A426" s="96"/>
      <c r="B426" s="96"/>
      <c r="C426" s="96"/>
      <c r="D426" s="96"/>
      <c r="E426" s="96"/>
      <c r="F426" s="96"/>
      <c r="G426" s="96"/>
      <c r="H426" s="96"/>
      <c r="I426" s="96"/>
      <c r="J426" s="28" t="s">
        <v>74</v>
      </c>
      <c r="K426" s="28" t="s">
        <v>75</v>
      </c>
      <c r="L426" s="96"/>
      <c r="M426" s="96"/>
      <c r="N426" s="96"/>
      <c r="O426" s="96"/>
      <c r="P426" s="102"/>
      <c r="Q426" s="103"/>
      <c r="R426" s="104"/>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8">
        <v>236666.98</v>
      </c>
      <c r="Q427" s="109"/>
      <c r="R427" s="26"/>
    </row>
    <row r="428" spans="1:18" ht="18" thickBot="1">
      <c r="A428" s="97" t="s">
        <v>78</v>
      </c>
      <c r="B428" s="98"/>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8">
        <v>236666.98</v>
      </c>
      <c r="Q428" s="109"/>
      <c r="R428" s="26"/>
    </row>
    <row r="429" spans="1:18" ht="35" thickBot="1">
      <c r="A429" s="95" t="s">
        <v>44</v>
      </c>
      <c r="B429" s="95"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102" t="s">
        <v>59</v>
      </c>
      <c r="Q429" s="113"/>
      <c r="R429" s="103"/>
    </row>
    <row r="430" spans="1:18" ht="17">
      <c r="A430" s="99"/>
      <c r="B430" s="99"/>
      <c r="C430" s="95" t="s">
        <v>60</v>
      </c>
      <c r="D430" s="95" t="s">
        <v>61</v>
      </c>
      <c r="E430" s="95" t="s">
        <v>62</v>
      </c>
      <c r="F430" s="95" t="s">
        <v>63</v>
      </c>
      <c r="G430" s="95" t="s">
        <v>64</v>
      </c>
      <c r="H430" s="95" t="s">
        <v>65</v>
      </c>
      <c r="I430" s="95" t="s">
        <v>66</v>
      </c>
      <c r="J430" s="27" t="s">
        <v>67</v>
      </c>
      <c r="K430" s="27" t="s">
        <v>89</v>
      </c>
      <c r="L430" s="95" t="s">
        <v>69</v>
      </c>
      <c r="M430" s="95" t="s">
        <v>70</v>
      </c>
      <c r="N430" s="95" t="s">
        <v>71</v>
      </c>
      <c r="O430" s="95" t="s">
        <v>72</v>
      </c>
      <c r="P430" s="106" t="s">
        <v>73</v>
      </c>
      <c r="Q430" s="112"/>
      <c r="R430" s="107"/>
    </row>
    <row r="431" spans="1:18" ht="18" thickBot="1">
      <c r="A431" s="96"/>
      <c r="B431" s="96"/>
      <c r="C431" s="96"/>
      <c r="D431" s="96"/>
      <c r="E431" s="96"/>
      <c r="F431" s="96"/>
      <c r="G431" s="96"/>
      <c r="H431" s="96"/>
      <c r="I431" s="96"/>
      <c r="J431" s="28" t="s">
        <v>74</v>
      </c>
      <c r="K431" s="28" t="s">
        <v>75</v>
      </c>
      <c r="L431" s="96"/>
      <c r="M431" s="96"/>
      <c r="N431" s="96"/>
      <c r="O431" s="96"/>
      <c r="P431" s="102"/>
      <c r="Q431" s="113"/>
      <c r="R431" s="103"/>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8">
        <v>118333.49</v>
      </c>
      <c r="Q432" s="118"/>
      <c r="R432" s="109"/>
    </row>
    <row r="433" spans="1:18" ht="18" thickBot="1">
      <c r="A433" s="100" t="s">
        <v>78</v>
      </c>
      <c r="B433" s="101"/>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8">
        <v>118333.49</v>
      </c>
      <c r="Q433" s="118"/>
      <c r="R433" s="109"/>
    </row>
    <row r="434" spans="1:18">
      <c r="A434" s="33"/>
    </row>
    <row r="435" spans="1:18">
      <c r="A435" s="33"/>
    </row>
    <row r="436" spans="1:18">
      <c r="A436" s="33"/>
    </row>
    <row r="437" spans="1:18">
      <c r="A437" s="16" t="s">
        <v>99</v>
      </c>
    </row>
    <row r="438" spans="1:18" ht="17" thickBot="1">
      <c r="A438" s="16"/>
    </row>
    <row r="439" spans="1:18" ht="35" thickBot="1">
      <c r="A439" s="95" t="s">
        <v>44</v>
      </c>
      <c r="B439" s="95"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9"/>
      <c r="B440" s="99"/>
      <c r="C440" s="95" t="s">
        <v>60</v>
      </c>
      <c r="D440" s="95" t="s">
        <v>61</v>
      </c>
      <c r="E440" s="95" t="s">
        <v>62</v>
      </c>
      <c r="F440" s="95" t="s">
        <v>63</v>
      </c>
      <c r="G440" s="95" t="s">
        <v>64</v>
      </c>
      <c r="H440" s="95" t="s">
        <v>65</v>
      </c>
      <c r="I440" s="95" t="s">
        <v>66</v>
      </c>
      <c r="J440" s="27" t="s">
        <v>67</v>
      </c>
      <c r="K440" s="27" t="s">
        <v>89</v>
      </c>
      <c r="L440" s="95" t="s">
        <v>69</v>
      </c>
      <c r="M440" s="95" t="s">
        <v>70</v>
      </c>
      <c r="N440" s="95" t="s">
        <v>71</v>
      </c>
      <c r="O440" s="95" t="s">
        <v>72</v>
      </c>
      <c r="P440" s="95" t="s">
        <v>73</v>
      </c>
      <c r="Q440" s="104"/>
      <c r="R440" s="105"/>
    </row>
    <row r="441" spans="1:18" ht="18" thickBot="1">
      <c r="A441" s="96"/>
      <c r="B441" s="96"/>
      <c r="C441" s="96"/>
      <c r="D441" s="96"/>
      <c r="E441" s="96"/>
      <c r="F441" s="96"/>
      <c r="G441" s="96"/>
      <c r="H441" s="96"/>
      <c r="I441" s="96"/>
      <c r="J441" s="28" t="s">
        <v>74</v>
      </c>
      <c r="K441" s="28" t="s">
        <v>75</v>
      </c>
      <c r="L441" s="96"/>
      <c r="M441" s="96"/>
      <c r="N441" s="96"/>
      <c r="O441" s="96"/>
      <c r="P441" s="96"/>
      <c r="Q441" s="104"/>
      <c r="R441" s="105"/>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7" t="s">
        <v>78</v>
      </c>
      <c r="B443" s="98"/>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5" t="s">
        <v>44</v>
      </c>
      <c r="B444" s="95"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102" t="s">
        <v>59</v>
      </c>
      <c r="Q444" s="103"/>
      <c r="R444" s="26"/>
    </row>
    <row r="445" spans="1:18" ht="17">
      <c r="A445" s="99"/>
      <c r="B445" s="99"/>
      <c r="C445" s="95" t="s">
        <v>60</v>
      </c>
      <c r="D445" s="95" t="s">
        <v>61</v>
      </c>
      <c r="E445" s="95" t="s">
        <v>62</v>
      </c>
      <c r="F445" s="95" t="s">
        <v>63</v>
      </c>
      <c r="G445" s="95" t="s">
        <v>64</v>
      </c>
      <c r="H445" s="95" t="s">
        <v>65</v>
      </c>
      <c r="I445" s="95" t="s">
        <v>66</v>
      </c>
      <c r="J445" s="27" t="s">
        <v>67</v>
      </c>
      <c r="K445" s="27" t="s">
        <v>89</v>
      </c>
      <c r="L445" s="95" t="s">
        <v>69</v>
      </c>
      <c r="M445" s="95" t="s">
        <v>70</v>
      </c>
      <c r="N445" s="95" t="s">
        <v>71</v>
      </c>
      <c r="O445" s="95" t="s">
        <v>72</v>
      </c>
      <c r="P445" s="106" t="s">
        <v>73</v>
      </c>
      <c r="Q445" s="107"/>
      <c r="R445" s="104"/>
    </row>
    <row r="446" spans="1:18" ht="18" thickBot="1">
      <c r="A446" s="96"/>
      <c r="B446" s="96"/>
      <c r="C446" s="96"/>
      <c r="D446" s="96"/>
      <c r="E446" s="96"/>
      <c r="F446" s="96"/>
      <c r="G446" s="96"/>
      <c r="H446" s="96"/>
      <c r="I446" s="96"/>
      <c r="J446" s="28" t="s">
        <v>74</v>
      </c>
      <c r="K446" s="28" t="s">
        <v>75</v>
      </c>
      <c r="L446" s="96"/>
      <c r="M446" s="96"/>
      <c r="N446" s="96"/>
      <c r="O446" s="96"/>
      <c r="P446" s="102"/>
      <c r="Q446" s="103"/>
      <c r="R446" s="104"/>
    </row>
    <row r="447" spans="1:18" ht="17">
      <c r="A447" s="34" t="s">
        <v>83</v>
      </c>
      <c r="B447" s="95" t="s">
        <v>82</v>
      </c>
      <c r="C447" s="95">
        <v>4</v>
      </c>
      <c r="D447" s="110">
        <v>2182.59</v>
      </c>
      <c r="E447" s="110">
        <v>2604.88</v>
      </c>
      <c r="F447" s="110">
        <v>4787.47</v>
      </c>
      <c r="G447" s="110">
        <v>489.06</v>
      </c>
      <c r="H447" s="110">
        <v>1000</v>
      </c>
      <c r="I447" s="95" t="s">
        <v>77</v>
      </c>
      <c r="J447" s="110">
        <v>6276.53</v>
      </c>
      <c r="K447" s="110">
        <v>75318.36</v>
      </c>
      <c r="L447" s="110">
        <v>4787.47</v>
      </c>
      <c r="M447" s="110">
        <v>1595.82</v>
      </c>
      <c r="N447" s="110">
        <v>712.47</v>
      </c>
      <c r="O447" s="110">
        <v>82414.12</v>
      </c>
      <c r="P447" s="114">
        <v>329656.48</v>
      </c>
      <c r="Q447" s="115"/>
      <c r="R447" s="104"/>
    </row>
    <row r="448" spans="1:18" ht="18" thickBot="1">
      <c r="A448" s="29" t="s">
        <v>84</v>
      </c>
      <c r="B448" s="96"/>
      <c r="C448" s="96"/>
      <c r="D448" s="111"/>
      <c r="E448" s="111"/>
      <c r="F448" s="111"/>
      <c r="G448" s="111"/>
      <c r="H448" s="111"/>
      <c r="I448" s="96"/>
      <c r="J448" s="111"/>
      <c r="K448" s="111"/>
      <c r="L448" s="111"/>
      <c r="M448" s="111"/>
      <c r="N448" s="111"/>
      <c r="O448" s="111"/>
      <c r="P448" s="116"/>
      <c r="Q448" s="117"/>
      <c r="R448" s="104"/>
    </row>
    <row r="449" spans="1:18" ht="18" thickBot="1">
      <c r="A449" s="97" t="s">
        <v>78</v>
      </c>
      <c r="B449" s="98"/>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8">
        <v>329656.48</v>
      </c>
      <c r="Q449" s="109"/>
      <c r="R449" s="26"/>
    </row>
    <row r="450" spans="1:18" ht="35" thickBot="1">
      <c r="A450" s="95" t="s">
        <v>44</v>
      </c>
      <c r="B450" s="95"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102" t="s">
        <v>59</v>
      </c>
      <c r="Q450" s="113"/>
      <c r="R450" s="103"/>
    </row>
    <row r="451" spans="1:18" ht="17">
      <c r="A451" s="99"/>
      <c r="B451" s="99"/>
      <c r="C451" s="95" t="s">
        <v>60</v>
      </c>
      <c r="D451" s="95" t="s">
        <v>61</v>
      </c>
      <c r="E451" s="95" t="s">
        <v>62</v>
      </c>
      <c r="F451" s="95" t="s">
        <v>63</v>
      </c>
      <c r="G451" s="95" t="s">
        <v>64</v>
      </c>
      <c r="H451" s="95" t="s">
        <v>65</v>
      </c>
      <c r="I451" s="95" t="s">
        <v>66</v>
      </c>
      <c r="J451" s="27" t="s">
        <v>67</v>
      </c>
      <c r="K451" s="27" t="s">
        <v>89</v>
      </c>
      <c r="L451" s="95" t="s">
        <v>69</v>
      </c>
      <c r="M451" s="95" t="s">
        <v>70</v>
      </c>
      <c r="N451" s="95" t="s">
        <v>71</v>
      </c>
      <c r="O451" s="95" t="s">
        <v>72</v>
      </c>
      <c r="P451" s="106" t="s">
        <v>73</v>
      </c>
      <c r="Q451" s="112"/>
      <c r="R451" s="107"/>
    </row>
    <row r="452" spans="1:18" ht="18" thickBot="1">
      <c r="A452" s="96"/>
      <c r="B452" s="96"/>
      <c r="C452" s="96"/>
      <c r="D452" s="96"/>
      <c r="E452" s="96"/>
      <c r="F452" s="96"/>
      <c r="G452" s="96"/>
      <c r="H452" s="96"/>
      <c r="I452" s="96"/>
      <c r="J452" s="28" t="s">
        <v>74</v>
      </c>
      <c r="K452" s="28" t="s">
        <v>75</v>
      </c>
      <c r="L452" s="96"/>
      <c r="M452" s="96"/>
      <c r="N452" s="96"/>
      <c r="O452" s="96"/>
      <c r="P452" s="102"/>
      <c r="Q452" s="113"/>
      <c r="R452" s="103"/>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8">
        <v>82414.12</v>
      </c>
      <c r="Q453" s="118"/>
      <c r="R453" s="109"/>
    </row>
    <row r="454" spans="1:18" ht="18" thickBot="1">
      <c r="A454" s="100" t="s">
        <v>78</v>
      </c>
      <c r="B454" s="101"/>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8">
        <v>82414.12</v>
      </c>
      <c r="Q454" s="118"/>
      <c r="R454" s="109"/>
    </row>
    <row r="455" spans="1:18" ht="35" thickBot="1">
      <c r="A455" s="95" t="s">
        <v>44</v>
      </c>
      <c r="B455" s="95"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100" t="s">
        <v>59</v>
      </c>
      <c r="Q455" s="119"/>
      <c r="R455" s="101"/>
    </row>
    <row r="456" spans="1:18" ht="17">
      <c r="A456" s="99"/>
      <c r="B456" s="99"/>
      <c r="C456" s="95" t="s">
        <v>60</v>
      </c>
      <c r="D456" s="95" t="s">
        <v>61</v>
      </c>
      <c r="E456" s="95" t="s">
        <v>62</v>
      </c>
      <c r="F456" s="95" t="s">
        <v>63</v>
      </c>
      <c r="G456" s="95" t="s">
        <v>64</v>
      </c>
      <c r="H456" s="95" t="s">
        <v>65</v>
      </c>
      <c r="I456" s="95" t="s">
        <v>66</v>
      </c>
      <c r="J456" s="27" t="s">
        <v>67</v>
      </c>
      <c r="K456" s="27" t="s">
        <v>89</v>
      </c>
      <c r="L456" s="95" t="s">
        <v>69</v>
      </c>
      <c r="M456" s="95" t="s">
        <v>70</v>
      </c>
      <c r="N456" s="95" t="s">
        <v>71</v>
      </c>
      <c r="O456" s="95" t="s">
        <v>72</v>
      </c>
      <c r="P456" s="106" t="s">
        <v>73</v>
      </c>
      <c r="Q456" s="112"/>
      <c r="R456" s="107"/>
    </row>
    <row r="457" spans="1:18" ht="18" thickBot="1">
      <c r="A457" s="96"/>
      <c r="B457" s="96"/>
      <c r="C457" s="96"/>
      <c r="D457" s="96"/>
      <c r="E457" s="96"/>
      <c r="F457" s="96"/>
      <c r="G457" s="96"/>
      <c r="H457" s="96"/>
      <c r="I457" s="96"/>
      <c r="J457" s="28" t="s">
        <v>74</v>
      </c>
      <c r="K457" s="28" t="s">
        <v>75</v>
      </c>
      <c r="L457" s="96"/>
      <c r="M457" s="96"/>
      <c r="N457" s="96"/>
      <c r="O457" s="96"/>
      <c r="P457" s="102"/>
      <c r="Q457" s="113"/>
      <c r="R457" s="103"/>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8">
        <v>1236211.8</v>
      </c>
      <c r="Q458" s="118"/>
      <c r="R458" s="109"/>
    </row>
    <row r="459" spans="1:18" ht="18" thickBot="1">
      <c r="A459" s="97" t="s">
        <v>78</v>
      </c>
      <c r="B459" s="98"/>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8">
        <v>1236211.8</v>
      </c>
      <c r="Q459" s="118"/>
      <c r="R459" s="109"/>
    </row>
    <row r="460" spans="1:18">
      <c r="A460" s="32"/>
    </row>
    <row r="461" spans="1:18">
      <c r="A461" s="14"/>
    </row>
    <row r="462" spans="1:18">
      <c r="A462" s="16" t="s">
        <v>99</v>
      </c>
    </row>
    <row r="463" spans="1:18" ht="17" thickBot="1">
      <c r="A463" s="24"/>
    </row>
    <row r="464" spans="1:18" ht="35" thickBot="1">
      <c r="A464" s="95" t="s">
        <v>44</v>
      </c>
      <c r="B464" s="95"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9"/>
      <c r="B465" s="99"/>
      <c r="C465" s="95" t="s">
        <v>60</v>
      </c>
      <c r="D465" s="95" t="s">
        <v>61</v>
      </c>
      <c r="E465" s="95" t="s">
        <v>62</v>
      </c>
      <c r="F465" s="95" t="s">
        <v>63</v>
      </c>
      <c r="G465" s="95" t="s">
        <v>64</v>
      </c>
      <c r="H465" s="95" t="s">
        <v>65</v>
      </c>
      <c r="I465" s="95" t="s">
        <v>66</v>
      </c>
      <c r="J465" s="27" t="s">
        <v>67</v>
      </c>
      <c r="K465" s="27" t="s">
        <v>89</v>
      </c>
      <c r="L465" s="95" t="s">
        <v>69</v>
      </c>
      <c r="M465" s="95" t="s">
        <v>70</v>
      </c>
      <c r="N465" s="95" t="s">
        <v>71</v>
      </c>
      <c r="O465" s="95" t="s">
        <v>72</v>
      </c>
      <c r="P465" s="95" t="s">
        <v>73</v>
      </c>
      <c r="Q465" s="104"/>
      <c r="R465" s="105"/>
    </row>
    <row r="466" spans="1:18" ht="18" thickBot="1">
      <c r="A466" s="96"/>
      <c r="B466" s="96"/>
      <c r="C466" s="96"/>
      <c r="D466" s="96"/>
      <c r="E466" s="96"/>
      <c r="F466" s="96"/>
      <c r="G466" s="96"/>
      <c r="H466" s="96"/>
      <c r="I466" s="96"/>
      <c r="J466" s="28" t="s">
        <v>74</v>
      </c>
      <c r="K466" s="28" t="s">
        <v>75</v>
      </c>
      <c r="L466" s="96"/>
      <c r="M466" s="96"/>
      <c r="N466" s="96"/>
      <c r="O466" s="96"/>
      <c r="P466" s="96"/>
      <c r="Q466" s="104"/>
      <c r="R466" s="105"/>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7" t="s">
        <v>78</v>
      </c>
      <c r="B468" s="98"/>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5" t="s">
        <v>44</v>
      </c>
      <c r="B469" s="95"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102" t="s">
        <v>59</v>
      </c>
      <c r="Q469" s="103"/>
      <c r="R469" s="26"/>
    </row>
    <row r="470" spans="1:18" ht="17">
      <c r="A470" s="99"/>
      <c r="B470" s="99"/>
      <c r="C470" s="95" t="s">
        <v>60</v>
      </c>
      <c r="D470" s="95" t="s">
        <v>61</v>
      </c>
      <c r="E470" s="95" t="s">
        <v>62</v>
      </c>
      <c r="F470" s="95" t="s">
        <v>63</v>
      </c>
      <c r="G470" s="95" t="s">
        <v>64</v>
      </c>
      <c r="H470" s="95" t="s">
        <v>65</v>
      </c>
      <c r="I470" s="95" t="s">
        <v>66</v>
      </c>
      <c r="J470" s="27" t="s">
        <v>67</v>
      </c>
      <c r="K470" s="27" t="s">
        <v>89</v>
      </c>
      <c r="L470" s="95" t="s">
        <v>69</v>
      </c>
      <c r="M470" s="95" t="s">
        <v>70</v>
      </c>
      <c r="N470" s="95" t="s">
        <v>71</v>
      </c>
      <c r="O470" s="95" t="s">
        <v>72</v>
      </c>
      <c r="P470" s="106" t="s">
        <v>73</v>
      </c>
      <c r="Q470" s="107"/>
      <c r="R470" s="104"/>
    </row>
    <row r="471" spans="1:18" ht="18" thickBot="1">
      <c r="A471" s="96"/>
      <c r="B471" s="96"/>
      <c r="C471" s="96"/>
      <c r="D471" s="96"/>
      <c r="E471" s="96"/>
      <c r="F471" s="96"/>
      <c r="G471" s="96"/>
      <c r="H471" s="96"/>
      <c r="I471" s="96"/>
      <c r="J471" s="28" t="s">
        <v>74</v>
      </c>
      <c r="K471" s="28" t="s">
        <v>75</v>
      </c>
      <c r="L471" s="96"/>
      <c r="M471" s="96"/>
      <c r="N471" s="96"/>
      <c r="O471" s="96"/>
      <c r="P471" s="102"/>
      <c r="Q471" s="103"/>
      <c r="R471" s="104"/>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8">
        <v>82414.12</v>
      </c>
      <c r="Q472" s="109"/>
      <c r="R472" s="26"/>
    </row>
    <row r="473" spans="1:18" ht="18" thickBot="1">
      <c r="A473" s="97" t="s">
        <v>78</v>
      </c>
      <c r="B473" s="98"/>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8">
        <v>82414.12</v>
      </c>
      <c r="Q473" s="109"/>
      <c r="R473" s="26"/>
    </row>
    <row r="474" spans="1:18" ht="35" thickBot="1">
      <c r="A474" s="95" t="s">
        <v>44</v>
      </c>
      <c r="B474" s="95"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102" t="s">
        <v>59</v>
      </c>
      <c r="Q474" s="113"/>
      <c r="R474" s="103"/>
    </row>
    <row r="475" spans="1:18" ht="17">
      <c r="A475" s="99"/>
      <c r="B475" s="99"/>
      <c r="C475" s="95" t="s">
        <v>60</v>
      </c>
      <c r="D475" s="95" t="s">
        <v>61</v>
      </c>
      <c r="E475" s="95" t="s">
        <v>62</v>
      </c>
      <c r="F475" s="95" t="s">
        <v>63</v>
      </c>
      <c r="G475" s="95" t="s">
        <v>64</v>
      </c>
      <c r="H475" s="95" t="s">
        <v>65</v>
      </c>
      <c r="I475" s="95" t="s">
        <v>66</v>
      </c>
      <c r="J475" s="27" t="s">
        <v>67</v>
      </c>
      <c r="K475" s="27" t="s">
        <v>89</v>
      </c>
      <c r="L475" s="95" t="s">
        <v>69</v>
      </c>
      <c r="M475" s="95" t="s">
        <v>70</v>
      </c>
      <c r="N475" s="95" t="s">
        <v>71</v>
      </c>
      <c r="O475" s="95" t="s">
        <v>72</v>
      </c>
      <c r="P475" s="106" t="s">
        <v>73</v>
      </c>
      <c r="Q475" s="112"/>
      <c r="R475" s="107"/>
    </row>
    <row r="476" spans="1:18" ht="18" thickBot="1">
      <c r="A476" s="96"/>
      <c r="B476" s="96"/>
      <c r="C476" s="96"/>
      <c r="D476" s="96"/>
      <c r="E476" s="96"/>
      <c r="F476" s="96"/>
      <c r="G476" s="96"/>
      <c r="H476" s="96"/>
      <c r="I476" s="96"/>
      <c r="J476" s="28" t="s">
        <v>74</v>
      </c>
      <c r="K476" s="28" t="s">
        <v>75</v>
      </c>
      <c r="L476" s="96"/>
      <c r="M476" s="96"/>
      <c r="N476" s="96"/>
      <c r="O476" s="96"/>
      <c r="P476" s="102"/>
      <c r="Q476" s="113"/>
      <c r="R476" s="103"/>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8">
        <v>82414.12</v>
      </c>
      <c r="Q477" s="118"/>
      <c r="R477" s="109"/>
    </row>
    <row r="478" spans="1:18" ht="18" thickBot="1">
      <c r="A478" s="100" t="s">
        <v>78</v>
      </c>
      <c r="B478" s="101"/>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8">
        <v>82414.12</v>
      </c>
      <c r="Q478" s="118"/>
      <c r="R478" s="109"/>
    </row>
    <row r="479" spans="1:18">
      <c r="A479" s="32"/>
    </row>
    <row r="480" spans="1:18">
      <c r="A480" s="16" t="s">
        <v>99</v>
      </c>
    </row>
    <row r="481" spans="1:18" ht="17" thickBot="1">
      <c r="A481" s="24"/>
    </row>
    <row r="482" spans="1:18" ht="35" thickBot="1">
      <c r="A482" s="95" t="s">
        <v>44</v>
      </c>
      <c r="B482" s="95"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9"/>
      <c r="B483" s="99"/>
      <c r="C483" s="95" t="s">
        <v>60</v>
      </c>
      <c r="D483" s="95" t="s">
        <v>61</v>
      </c>
      <c r="E483" s="95" t="s">
        <v>62</v>
      </c>
      <c r="F483" s="95" t="s">
        <v>63</v>
      </c>
      <c r="G483" s="95" t="s">
        <v>64</v>
      </c>
      <c r="H483" s="95" t="s">
        <v>65</v>
      </c>
      <c r="I483" s="95" t="s">
        <v>66</v>
      </c>
      <c r="J483" s="27" t="s">
        <v>67</v>
      </c>
      <c r="K483" s="27" t="s">
        <v>89</v>
      </c>
      <c r="L483" s="95" t="s">
        <v>69</v>
      </c>
      <c r="M483" s="95" t="s">
        <v>70</v>
      </c>
      <c r="N483" s="95" t="s">
        <v>71</v>
      </c>
      <c r="O483" s="95" t="s">
        <v>72</v>
      </c>
      <c r="P483" s="95" t="s">
        <v>73</v>
      </c>
      <c r="Q483" s="104"/>
      <c r="R483" s="105"/>
    </row>
    <row r="484" spans="1:18" ht="18" thickBot="1">
      <c r="A484" s="96"/>
      <c r="B484" s="96"/>
      <c r="C484" s="96"/>
      <c r="D484" s="96"/>
      <c r="E484" s="96"/>
      <c r="F484" s="96"/>
      <c r="G484" s="96"/>
      <c r="H484" s="96"/>
      <c r="I484" s="96"/>
      <c r="J484" s="28" t="s">
        <v>74</v>
      </c>
      <c r="K484" s="28" t="s">
        <v>75</v>
      </c>
      <c r="L484" s="96"/>
      <c r="M484" s="96"/>
      <c r="N484" s="96"/>
      <c r="O484" s="96"/>
      <c r="P484" s="96"/>
      <c r="Q484" s="104"/>
      <c r="R484" s="105"/>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7" t="s">
        <v>78</v>
      </c>
      <c r="B486" s="98"/>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5" t="s">
        <v>44</v>
      </c>
      <c r="B487" s="95"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102" t="s">
        <v>59</v>
      </c>
      <c r="Q487" s="103"/>
      <c r="R487" s="26"/>
    </row>
    <row r="488" spans="1:18" ht="17">
      <c r="A488" s="99"/>
      <c r="B488" s="99"/>
      <c r="C488" s="95" t="s">
        <v>60</v>
      </c>
      <c r="D488" s="95" t="s">
        <v>61</v>
      </c>
      <c r="E488" s="95" t="s">
        <v>62</v>
      </c>
      <c r="F488" s="95" t="s">
        <v>63</v>
      </c>
      <c r="G488" s="95" t="s">
        <v>64</v>
      </c>
      <c r="H488" s="95" t="s">
        <v>65</v>
      </c>
      <c r="I488" s="95" t="s">
        <v>66</v>
      </c>
      <c r="J488" s="27" t="s">
        <v>67</v>
      </c>
      <c r="K488" s="27" t="s">
        <v>89</v>
      </c>
      <c r="L488" s="95" t="s">
        <v>69</v>
      </c>
      <c r="M488" s="95" t="s">
        <v>70</v>
      </c>
      <c r="N488" s="95" t="s">
        <v>71</v>
      </c>
      <c r="O488" s="95" t="s">
        <v>72</v>
      </c>
      <c r="P488" s="106" t="s">
        <v>73</v>
      </c>
      <c r="Q488" s="107"/>
      <c r="R488" s="104"/>
    </row>
    <row r="489" spans="1:18" ht="18" thickBot="1">
      <c r="A489" s="96"/>
      <c r="B489" s="96"/>
      <c r="C489" s="96"/>
      <c r="D489" s="96"/>
      <c r="E489" s="96"/>
      <c r="F489" s="96"/>
      <c r="G489" s="96"/>
      <c r="H489" s="96"/>
      <c r="I489" s="96"/>
      <c r="J489" s="28" t="s">
        <v>74</v>
      </c>
      <c r="K489" s="28" t="s">
        <v>75</v>
      </c>
      <c r="L489" s="96"/>
      <c r="M489" s="96"/>
      <c r="N489" s="96"/>
      <c r="O489" s="96"/>
      <c r="P489" s="102"/>
      <c r="Q489" s="103"/>
      <c r="R489" s="104"/>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8">
        <v>82414.12</v>
      </c>
      <c r="Q490" s="109"/>
      <c r="R490" s="26"/>
    </row>
    <row r="491" spans="1:18" ht="18" thickBot="1">
      <c r="A491" s="97" t="s">
        <v>78</v>
      </c>
      <c r="B491" s="98"/>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8">
        <v>82414.12</v>
      </c>
      <c r="Q491" s="109"/>
      <c r="R491" s="26"/>
    </row>
    <row r="492" spans="1:18" ht="35" thickBot="1">
      <c r="A492" s="95" t="s">
        <v>44</v>
      </c>
      <c r="B492" s="95"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102" t="s">
        <v>59</v>
      </c>
      <c r="Q492" s="113"/>
      <c r="R492" s="103"/>
    </row>
    <row r="493" spans="1:18" ht="17">
      <c r="A493" s="99"/>
      <c r="B493" s="99"/>
      <c r="C493" s="95" t="s">
        <v>60</v>
      </c>
      <c r="D493" s="95" t="s">
        <v>61</v>
      </c>
      <c r="E493" s="95" t="s">
        <v>62</v>
      </c>
      <c r="F493" s="95" t="s">
        <v>63</v>
      </c>
      <c r="G493" s="95" t="s">
        <v>64</v>
      </c>
      <c r="H493" s="95" t="s">
        <v>65</v>
      </c>
      <c r="I493" s="95" t="s">
        <v>66</v>
      </c>
      <c r="J493" s="27" t="s">
        <v>67</v>
      </c>
      <c r="K493" s="27" t="s">
        <v>89</v>
      </c>
      <c r="L493" s="95" t="s">
        <v>69</v>
      </c>
      <c r="M493" s="95" t="s">
        <v>70</v>
      </c>
      <c r="N493" s="95" t="s">
        <v>71</v>
      </c>
      <c r="O493" s="95" t="s">
        <v>72</v>
      </c>
      <c r="P493" s="106" t="s">
        <v>73</v>
      </c>
      <c r="Q493" s="112"/>
      <c r="R493" s="107"/>
    </row>
    <row r="494" spans="1:18" ht="18" thickBot="1">
      <c r="A494" s="96"/>
      <c r="B494" s="96"/>
      <c r="C494" s="96"/>
      <c r="D494" s="96"/>
      <c r="E494" s="96"/>
      <c r="F494" s="96"/>
      <c r="G494" s="96"/>
      <c r="H494" s="96"/>
      <c r="I494" s="96"/>
      <c r="J494" s="28" t="s">
        <v>74</v>
      </c>
      <c r="K494" s="28" t="s">
        <v>75</v>
      </c>
      <c r="L494" s="96"/>
      <c r="M494" s="96"/>
      <c r="N494" s="96"/>
      <c r="O494" s="96"/>
      <c r="P494" s="102"/>
      <c r="Q494" s="113"/>
      <c r="R494" s="103"/>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8">
        <v>164828.24</v>
      </c>
      <c r="Q495" s="118"/>
      <c r="R495" s="109"/>
    </row>
    <row r="496" spans="1:18" ht="18" thickBot="1">
      <c r="A496" s="100" t="s">
        <v>78</v>
      </c>
      <c r="B496" s="101"/>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8">
        <v>164828.24</v>
      </c>
      <c r="Q496" s="118"/>
      <c r="R496" s="109"/>
    </row>
    <row r="497" spans="1:18">
      <c r="A497" s="32"/>
    </row>
    <row r="498" spans="1:18">
      <c r="A498" s="16" t="s">
        <v>99</v>
      </c>
    </row>
    <row r="499" spans="1:18" ht="17" thickBot="1">
      <c r="A499" s="24"/>
    </row>
    <row r="500" spans="1:18" ht="35" thickBot="1">
      <c r="A500" s="95" t="s">
        <v>44</v>
      </c>
      <c r="B500" s="95"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9"/>
      <c r="B501" s="99"/>
      <c r="C501" s="95" t="s">
        <v>60</v>
      </c>
      <c r="D501" s="95" t="s">
        <v>61</v>
      </c>
      <c r="E501" s="95" t="s">
        <v>62</v>
      </c>
      <c r="F501" s="95" t="s">
        <v>63</v>
      </c>
      <c r="G501" s="95" t="s">
        <v>64</v>
      </c>
      <c r="H501" s="95" t="s">
        <v>65</v>
      </c>
      <c r="I501" s="95" t="s">
        <v>66</v>
      </c>
      <c r="J501" s="27" t="s">
        <v>67</v>
      </c>
      <c r="K501" s="27" t="s">
        <v>89</v>
      </c>
      <c r="L501" s="95" t="s">
        <v>69</v>
      </c>
      <c r="M501" s="95" t="s">
        <v>70</v>
      </c>
      <c r="N501" s="95" t="s">
        <v>71</v>
      </c>
      <c r="O501" s="95" t="s">
        <v>72</v>
      </c>
      <c r="P501" s="95" t="s">
        <v>73</v>
      </c>
      <c r="Q501" s="104"/>
      <c r="R501" s="105"/>
    </row>
    <row r="502" spans="1:18" ht="18" thickBot="1">
      <c r="A502" s="96"/>
      <c r="B502" s="96"/>
      <c r="C502" s="96"/>
      <c r="D502" s="96"/>
      <c r="E502" s="96"/>
      <c r="F502" s="96"/>
      <c r="G502" s="96"/>
      <c r="H502" s="96"/>
      <c r="I502" s="96"/>
      <c r="J502" s="28" t="s">
        <v>74</v>
      </c>
      <c r="K502" s="28" t="s">
        <v>75</v>
      </c>
      <c r="L502" s="96"/>
      <c r="M502" s="96"/>
      <c r="N502" s="96"/>
      <c r="O502" s="96"/>
      <c r="P502" s="96"/>
      <c r="Q502" s="104"/>
      <c r="R502" s="105"/>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7" t="s">
        <v>78</v>
      </c>
      <c r="B504" s="98"/>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5" t="s">
        <v>44</v>
      </c>
      <c r="B505" s="95"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102" t="s">
        <v>59</v>
      </c>
      <c r="Q505" s="103"/>
      <c r="R505" s="26"/>
    </row>
    <row r="506" spans="1:18" ht="17">
      <c r="A506" s="99"/>
      <c r="B506" s="99"/>
      <c r="C506" s="95" t="s">
        <v>60</v>
      </c>
      <c r="D506" s="95" t="s">
        <v>61</v>
      </c>
      <c r="E506" s="95" t="s">
        <v>62</v>
      </c>
      <c r="F506" s="95" t="s">
        <v>63</v>
      </c>
      <c r="G506" s="95" t="s">
        <v>64</v>
      </c>
      <c r="H506" s="95" t="s">
        <v>65</v>
      </c>
      <c r="I506" s="95" t="s">
        <v>66</v>
      </c>
      <c r="J506" s="27" t="s">
        <v>67</v>
      </c>
      <c r="K506" s="27" t="s">
        <v>89</v>
      </c>
      <c r="L506" s="95" t="s">
        <v>69</v>
      </c>
      <c r="M506" s="95" t="s">
        <v>70</v>
      </c>
      <c r="N506" s="95" t="s">
        <v>71</v>
      </c>
      <c r="O506" s="95" t="s">
        <v>72</v>
      </c>
      <c r="P506" s="106" t="s">
        <v>73</v>
      </c>
      <c r="Q506" s="107"/>
      <c r="R506" s="104"/>
    </row>
    <row r="507" spans="1:18" ht="18" thickBot="1">
      <c r="A507" s="96"/>
      <c r="B507" s="96"/>
      <c r="C507" s="96"/>
      <c r="D507" s="96"/>
      <c r="E507" s="96"/>
      <c r="F507" s="96"/>
      <c r="G507" s="96"/>
      <c r="H507" s="96"/>
      <c r="I507" s="96"/>
      <c r="J507" s="28" t="s">
        <v>74</v>
      </c>
      <c r="K507" s="28" t="s">
        <v>75</v>
      </c>
      <c r="L507" s="96"/>
      <c r="M507" s="96"/>
      <c r="N507" s="96"/>
      <c r="O507" s="96"/>
      <c r="P507" s="102"/>
      <c r="Q507" s="103"/>
      <c r="R507" s="104"/>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8">
        <v>82414.12</v>
      </c>
      <c r="Q508" s="109"/>
      <c r="R508" s="26"/>
    </row>
    <row r="509" spans="1:18" ht="18" thickBot="1">
      <c r="A509" s="97" t="s">
        <v>78</v>
      </c>
      <c r="B509" s="98"/>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8">
        <v>82414.12</v>
      </c>
      <c r="Q509" s="109"/>
      <c r="R509" s="26"/>
    </row>
    <row r="510" spans="1:18" ht="35" thickBot="1">
      <c r="A510" s="95" t="s">
        <v>44</v>
      </c>
      <c r="B510" s="95"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102" t="s">
        <v>59</v>
      </c>
      <c r="Q510" s="113"/>
      <c r="R510" s="103"/>
    </row>
    <row r="511" spans="1:18" ht="17">
      <c r="A511" s="99"/>
      <c r="B511" s="99"/>
      <c r="C511" s="95" t="s">
        <v>60</v>
      </c>
      <c r="D511" s="95" t="s">
        <v>61</v>
      </c>
      <c r="E511" s="95" t="s">
        <v>62</v>
      </c>
      <c r="F511" s="95" t="s">
        <v>63</v>
      </c>
      <c r="G511" s="95" t="s">
        <v>64</v>
      </c>
      <c r="H511" s="95" t="s">
        <v>65</v>
      </c>
      <c r="I511" s="95" t="s">
        <v>66</v>
      </c>
      <c r="J511" s="27" t="s">
        <v>67</v>
      </c>
      <c r="K511" s="27" t="s">
        <v>89</v>
      </c>
      <c r="L511" s="95" t="s">
        <v>69</v>
      </c>
      <c r="M511" s="95" t="s">
        <v>70</v>
      </c>
      <c r="N511" s="95" t="s">
        <v>71</v>
      </c>
      <c r="O511" s="95" t="s">
        <v>72</v>
      </c>
      <c r="P511" s="106" t="s">
        <v>73</v>
      </c>
      <c r="Q511" s="112"/>
      <c r="R511" s="107"/>
    </row>
    <row r="512" spans="1:18" ht="18" thickBot="1">
      <c r="A512" s="96"/>
      <c r="B512" s="96"/>
      <c r="C512" s="96"/>
      <c r="D512" s="96"/>
      <c r="E512" s="96"/>
      <c r="F512" s="96"/>
      <c r="G512" s="96"/>
      <c r="H512" s="96"/>
      <c r="I512" s="96"/>
      <c r="J512" s="28" t="s">
        <v>74</v>
      </c>
      <c r="K512" s="28" t="s">
        <v>75</v>
      </c>
      <c r="L512" s="96"/>
      <c r="M512" s="96"/>
      <c r="N512" s="96"/>
      <c r="O512" s="96"/>
      <c r="P512" s="102"/>
      <c r="Q512" s="113"/>
      <c r="R512" s="103"/>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8">
        <v>82414.12</v>
      </c>
      <c r="Q513" s="118"/>
      <c r="R513" s="109"/>
    </row>
    <row r="514" spans="1:18" ht="18" thickBot="1">
      <c r="A514" s="100" t="s">
        <v>78</v>
      </c>
      <c r="B514" s="101"/>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8">
        <v>82414.12</v>
      </c>
      <c r="Q514" s="118"/>
      <c r="R514" s="109"/>
    </row>
    <row r="515" spans="1:18">
      <c r="A515" s="32"/>
    </row>
    <row r="516" spans="1:18">
      <c r="A516" s="32"/>
    </row>
    <row r="517" spans="1:18">
      <c r="A517" s="38" t="s">
        <v>99</v>
      </c>
    </row>
    <row r="518" spans="1:18" ht="17" thickBot="1">
      <c r="A518" s="16"/>
    </row>
    <row r="519" spans="1:18" ht="35" thickBot="1">
      <c r="A519" s="95" t="s">
        <v>44</v>
      </c>
      <c r="B519" s="95"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9"/>
      <c r="B520" s="99"/>
      <c r="C520" s="95" t="s">
        <v>60</v>
      </c>
      <c r="D520" s="95" t="s">
        <v>61</v>
      </c>
      <c r="E520" s="95" t="s">
        <v>62</v>
      </c>
      <c r="F520" s="95" t="s">
        <v>63</v>
      </c>
      <c r="G520" s="95" t="s">
        <v>64</v>
      </c>
      <c r="H520" s="95" t="s">
        <v>65</v>
      </c>
      <c r="I520" s="95" t="s">
        <v>66</v>
      </c>
      <c r="J520" s="27" t="s">
        <v>67</v>
      </c>
      <c r="K520" s="95" t="s">
        <v>89</v>
      </c>
      <c r="L520" s="95" t="s">
        <v>69</v>
      </c>
      <c r="M520" s="95" t="s">
        <v>70</v>
      </c>
      <c r="N520" s="95" t="s">
        <v>71</v>
      </c>
      <c r="O520" s="95" t="s">
        <v>72</v>
      </c>
      <c r="P520" s="95" t="s">
        <v>73</v>
      </c>
      <c r="Q520" s="104"/>
      <c r="R520" s="105"/>
    </row>
    <row r="521" spans="1:18" ht="18" thickBot="1">
      <c r="A521" s="96"/>
      <c r="B521" s="96"/>
      <c r="C521" s="96"/>
      <c r="D521" s="96"/>
      <c r="E521" s="96"/>
      <c r="F521" s="96"/>
      <c r="G521" s="96"/>
      <c r="H521" s="96"/>
      <c r="I521" s="96"/>
      <c r="J521" s="28" t="s">
        <v>74</v>
      </c>
      <c r="K521" s="96"/>
      <c r="L521" s="96"/>
      <c r="M521" s="96"/>
      <c r="N521" s="96"/>
      <c r="O521" s="96"/>
      <c r="P521" s="96"/>
      <c r="Q521" s="104"/>
      <c r="R521" s="105"/>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7" t="s">
        <v>78</v>
      </c>
      <c r="B523" s="98"/>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5" t="s">
        <v>44</v>
      </c>
      <c r="B524" s="95"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102" t="s">
        <v>59</v>
      </c>
      <c r="Q524" s="103"/>
      <c r="R524" s="26"/>
    </row>
    <row r="525" spans="1:18" ht="17">
      <c r="A525" s="99"/>
      <c r="B525" s="99"/>
      <c r="C525" s="95" t="s">
        <v>60</v>
      </c>
      <c r="D525" s="95" t="s">
        <v>61</v>
      </c>
      <c r="E525" s="95" t="s">
        <v>62</v>
      </c>
      <c r="F525" s="95" t="s">
        <v>63</v>
      </c>
      <c r="G525" s="95" t="s">
        <v>64</v>
      </c>
      <c r="H525" s="95" t="s">
        <v>65</v>
      </c>
      <c r="I525" s="95" t="s">
        <v>66</v>
      </c>
      <c r="J525" s="27" t="s">
        <v>67</v>
      </c>
      <c r="K525" s="95" t="s">
        <v>89</v>
      </c>
      <c r="L525" s="95" t="s">
        <v>69</v>
      </c>
      <c r="M525" s="95" t="s">
        <v>70</v>
      </c>
      <c r="N525" s="95" t="s">
        <v>71</v>
      </c>
      <c r="O525" s="95" t="s">
        <v>72</v>
      </c>
      <c r="P525" s="106" t="s">
        <v>73</v>
      </c>
      <c r="Q525" s="107"/>
      <c r="R525" s="104"/>
    </row>
    <row r="526" spans="1:18" ht="18" thickBot="1">
      <c r="A526" s="96"/>
      <c r="B526" s="96"/>
      <c r="C526" s="96"/>
      <c r="D526" s="96"/>
      <c r="E526" s="96"/>
      <c r="F526" s="96"/>
      <c r="G526" s="96"/>
      <c r="H526" s="96"/>
      <c r="I526" s="96"/>
      <c r="J526" s="28" t="s">
        <v>74</v>
      </c>
      <c r="K526" s="96"/>
      <c r="L526" s="96"/>
      <c r="M526" s="96"/>
      <c r="N526" s="96"/>
      <c r="O526" s="96"/>
      <c r="P526" s="102"/>
      <c r="Q526" s="103"/>
      <c r="R526" s="104"/>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8">
        <v>94856.06</v>
      </c>
      <c r="Q527" s="109"/>
      <c r="R527" s="26"/>
    </row>
    <row r="528" spans="1:18" ht="18" thickBot="1">
      <c r="A528" s="97" t="s">
        <v>78</v>
      </c>
      <c r="B528" s="98"/>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8">
        <v>94856.06</v>
      </c>
      <c r="Q528" s="109"/>
      <c r="R528" s="26"/>
    </row>
    <row r="529" spans="1:18" ht="35" thickBot="1">
      <c r="A529" s="95" t="s">
        <v>44</v>
      </c>
      <c r="B529" s="95"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102" t="s">
        <v>59</v>
      </c>
      <c r="Q529" s="113"/>
      <c r="R529" s="103"/>
    </row>
    <row r="530" spans="1:18" ht="17">
      <c r="A530" s="99"/>
      <c r="B530" s="99"/>
      <c r="C530" s="95" t="s">
        <v>60</v>
      </c>
      <c r="D530" s="95" t="s">
        <v>61</v>
      </c>
      <c r="E530" s="95" t="s">
        <v>62</v>
      </c>
      <c r="F530" s="95" t="s">
        <v>63</v>
      </c>
      <c r="G530" s="95" t="s">
        <v>64</v>
      </c>
      <c r="H530" s="95" t="s">
        <v>65</v>
      </c>
      <c r="I530" s="95" t="s">
        <v>66</v>
      </c>
      <c r="J530" s="27" t="s">
        <v>67</v>
      </c>
      <c r="K530" s="95" t="s">
        <v>89</v>
      </c>
      <c r="L530" s="95" t="s">
        <v>69</v>
      </c>
      <c r="M530" s="95" t="s">
        <v>70</v>
      </c>
      <c r="N530" s="95" t="s">
        <v>71</v>
      </c>
      <c r="O530" s="95" t="s">
        <v>72</v>
      </c>
      <c r="P530" s="106" t="s">
        <v>73</v>
      </c>
      <c r="Q530" s="112"/>
      <c r="R530" s="107"/>
    </row>
    <row r="531" spans="1:18" ht="18" thickBot="1">
      <c r="A531" s="96"/>
      <c r="B531" s="96"/>
      <c r="C531" s="96"/>
      <c r="D531" s="96"/>
      <c r="E531" s="96"/>
      <c r="F531" s="96"/>
      <c r="G531" s="96"/>
      <c r="H531" s="96"/>
      <c r="I531" s="96"/>
      <c r="J531" s="28" t="s">
        <v>74</v>
      </c>
      <c r="K531" s="96"/>
      <c r="L531" s="96"/>
      <c r="M531" s="96"/>
      <c r="N531" s="96"/>
      <c r="O531" s="96"/>
      <c r="P531" s="102"/>
      <c r="Q531" s="113"/>
      <c r="R531" s="103"/>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8">
        <v>94856.06</v>
      </c>
      <c r="Q532" s="118"/>
      <c r="R532" s="109"/>
    </row>
    <row r="533" spans="1:18" ht="18" thickBot="1">
      <c r="A533" s="100" t="s">
        <v>78</v>
      </c>
      <c r="B533" s="101"/>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8">
        <v>94856.06</v>
      </c>
      <c r="Q533" s="118"/>
      <c r="R533" s="109"/>
    </row>
    <row r="534" spans="1:18" ht="35" thickBot="1">
      <c r="A534" s="95" t="s">
        <v>44</v>
      </c>
      <c r="B534" s="95"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100" t="s">
        <v>59</v>
      </c>
      <c r="Q534" s="119"/>
      <c r="R534" s="101"/>
    </row>
    <row r="535" spans="1:18" ht="17">
      <c r="A535" s="99"/>
      <c r="B535" s="99"/>
      <c r="C535" s="95" t="s">
        <v>60</v>
      </c>
      <c r="D535" s="95" t="s">
        <v>61</v>
      </c>
      <c r="E535" s="95" t="s">
        <v>62</v>
      </c>
      <c r="F535" s="95" t="s">
        <v>63</v>
      </c>
      <c r="G535" s="95" t="s">
        <v>64</v>
      </c>
      <c r="H535" s="95" t="s">
        <v>65</v>
      </c>
      <c r="I535" s="95" t="s">
        <v>66</v>
      </c>
      <c r="J535" s="27" t="s">
        <v>67</v>
      </c>
      <c r="K535" s="95" t="s">
        <v>89</v>
      </c>
      <c r="L535" s="95" t="s">
        <v>69</v>
      </c>
      <c r="M535" s="95" t="s">
        <v>70</v>
      </c>
      <c r="N535" s="95" t="s">
        <v>71</v>
      </c>
      <c r="O535" s="95" t="s">
        <v>72</v>
      </c>
      <c r="P535" s="106" t="s">
        <v>73</v>
      </c>
      <c r="Q535" s="112"/>
      <c r="R535" s="107"/>
    </row>
    <row r="536" spans="1:18" ht="18" thickBot="1">
      <c r="A536" s="96"/>
      <c r="B536" s="96"/>
      <c r="C536" s="96"/>
      <c r="D536" s="96"/>
      <c r="E536" s="96"/>
      <c r="F536" s="96"/>
      <c r="G536" s="96"/>
      <c r="H536" s="96"/>
      <c r="I536" s="96"/>
      <c r="J536" s="28" t="s">
        <v>74</v>
      </c>
      <c r="K536" s="96"/>
      <c r="L536" s="96"/>
      <c r="M536" s="96"/>
      <c r="N536" s="96"/>
      <c r="O536" s="96"/>
      <c r="P536" s="102"/>
      <c r="Q536" s="113"/>
      <c r="R536" s="103"/>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8">
        <v>94856.06</v>
      </c>
      <c r="Q537" s="118"/>
      <c r="R537" s="109"/>
    </row>
    <row r="538" spans="1:18" ht="18" thickBot="1">
      <c r="A538" s="97" t="s">
        <v>78</v>
      </c>
      <c r="B538" s="98"/>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8">
        <v>94856.06</v>
      </c>
      <c r="Q538" s="118"/>
      <c r="R538" s="109"/>
    </row>
    <row r="539" spans="1:18">
      <c r="A539" s="37" t="s">
        <v>99</v>
      </c>
    </row>
    <row r="540" spans="1:18" ht="17" thickBot="1">
      <c r="A540" s="33"/>
    </row>
    <row r="541" spans="1:18" ht="35" thickBot="1">
      <c r="A541" s="95" t="s">
        <v>44</v>
      </c>
      <c r="B541" s="95"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9"/>
      <c r="B542" s="99"/>
      <c r="C542" s="95" t="s">
        <v>60</v>
      </c>
      <c r="D542" s="95" t="s">
        <v>61</v>
      </c>
      <c r="E542" s="95" t="s">
        <v>62</v>
      </c>
      <c r="F542" s="95" t="s">
        <v>63</v>
      </c>
      <c r="G542" s="95" t="s">
        <v>64</v>
      </c>
      <c r="H542" s="95" t="s">
        <v>65</v>
      </c>
      <c r="I542" s="95" t="s">
        <v>66</v>
      </c>
      <c r="J542" s="27" t="s">
        <v>67</v>
      </c>
      <c r="K542" s="95" t="s">
        <v>89</v>
      </c>
      <c r="L542" s="95" t="s">
        <v>69</v>
      </c>
      <c r="M542" s="95" t="s">
        <v>70</v>
      </c>
      <c r="N542" s="95" t="s">
        <v>71</v>
      </c>
      <c r="O542" s="95" t="s">
        <v>72</v>
      </c>
      <c r="P542" s="95" t="s">
        <v>73</v>
      </c>
      <c r="Q542" s="104"/>
      <c r="R542" s="105"/>
    </row>
    <row r="543" spans="1:18" ht="18" thickBot="1">
      <c r="A543" s="96"/>
      <c r="B543" s="96"/>
      <c r="C543" s="96"/>
      <c r="D543" s="96"/>
      <c r="E543" s="96"/>
      <c r="F543" s="96"/>
      <c r="G543" s="96"/>
      <c r="H543" s="96"/>
      <c r="I543" s="96"/>
      <c r="J543" s="28" t="s">
        <v>74</v>
      </c>
      <c r="K543" s="96"/>
      <c r="L543" s="96"/>
      <c r="M543" s="96"/>
      <c r="N543" s="96"/>
      <c r="O543" s="96"/>
      <c r="P543" s="96"/>
      <c r="Q543" s="104"/>
      <c r="R543" s="105"/>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7" t="s">
        <v>78</v>
      </c>
      <c r="B545" s="98"/>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5" t="s">
        <v>44</v>
      </c>
      <c r="B546" s="95"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102" t="s">
        <v>59</v>
      </c>
      <c r="Q546" s="103"/>
      <c r="R546" s="26"/>
    </row>
    <row r="547" spans="1:18" ht="17">
      <c r="A547" s="99"/>
      <c r="B547" s="99"/>
      <c r="C547" s="95" t="s">
        <v>60</v>
      </c>
      <c r="D547" s="95" t="s">
        <v>61</v>
      </c>
      <c r="E547" s="95" t="s">
        <v>62</v>
      </c>
      <c r="F547" s="95" t="s">
        <v>63</v>
      </c>
      <c r="G547" s="95" t="s">
        <v>64</v>
      </c>
      <c r="H547" s="95" t="s">
        <v>65</v>
      </c>
      <c r="I547" s="95" t="s">
        <v>66</v>
      </c>
      <c r="J547" s="27" t="s">
        <v>67</v>
      </c>
      <c r="K547" s="95" t="s">
        <v>89</v>
      </c>
      <c r="L547" s="95" t="s">
        <v>69</v>
      </c>
      <c r="M547" s="95" t="s">
        <v>70</v>
      </c>
      <c r="N547" s="95" t="s">
        <v>71</v>
      </c>
      <c r="O547" s="95" t="s">
        <v>72</v>
      </c>
      <c r="P547" s="106" t="s">
        <v>73</v>
      </c>
      <c r="Q547" s="107"/>
      <c r="R547" s="104"/>
    </row>
    <row r="548" spans="1:18" ht="18" thickBot="1">
      <c r="A548" s="96"/>
      <c r="B548" s="96"/>
      <c r="C548" s="96"/>
      <c r="D548" s="96"/>
      <c r="E548" s="96"/>
      <c r="F548" s="96"/>
      <c r="G548" s="96"/>
      <c r="H548" s="96"/>
      <c r="I548" s="96"/>
      <c r="J548" s="28" t="s">
        <v>74</v>
      </c>
      <c r="K548" s="96"/>
      <c r="L548" s="96"/>
      <c r="M548" s="96"/>
      <c r="N548" s="96"/>
      <c r="O548" s="96"/>
      <c r="P548" s="102"/>
      <c r="Q548" s="103"/>
      <c r="R548" s="104"/>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8">
        <v>118333.49</v>
      </c>
      <c r="Q549" s="109"/>
      <c r="R549" s="26"/>
    </row>
    <row r="550" spans="1:18" ht="18" thickBot="1">
      <c r="A550" s="97" t="s">
        <v>78</v>
      </c>
      <c r="B550" s="98"/>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8">
        <v>118333.49</v>
      </c>
      <c r="Q550" s="109"/>
      <c r="R550" s="26"/>
    </row>
    <row r="551" spans="1:18" ht="35" thickBot="1">
      <c r="A551" s="95" t="s">
        <v>44</v>
      </c>
      <c r="B551" s="95"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102" t="s">
        <v>59</v>
      </c>
      <c r="Q551" s="113"/>
      <c r="R551" s="103"/>
    </row>
    <row r="552" spans="1:18" ht="17">
      <c r="A552" s="99"/>
      <c r="B552" s="99"/>
      <c r="C552" s="95" t="s">
        <v>60</v>
      </c>
      <c r="D552" s="95" t="s">
        <v>61</v>
      </c>
      <c r="E552" s="95" t="s">
        <v>62</v>
      </c>
      <c r="F552" s="95" t="s">
        <v>63</v>
      </c>
      <c r="G552" s="95" t="s">
        <v>64</v>
      </c>
      <c r="H552" s="95" t="s">
        <v>65</v>
      </c>
      <c r="I552" s="95" t="s">
        <v>66</v>
      </c>
      <c r="J552" s="27" t="s">
        <v>67</v>
      </c>
      <c r="K552" s="95" t="s">
        <v>89</v>
      </c>
      <c r="L552" s="95" t="s">
        <v>69</v>
      </c>
      <c r="M552" s="95" t="s">
        <v>70</v>
      </c>
      <c r="N552" s="95" t="s">
        <v>71</v>
      </c>
      <c r="O552" s="95" t="s">
        <v>72</v>
      </c>
      <c r="P552" s="106" t="s">
        <v>73</v>
      </c>
      <c r="Q552" s="112"/>
      <c r="R552" s="107"/>
    </row>
    <row r="553" spans="1:18" ht="18" thickBot="1">
      <c r="A553" s="96"/>
      <c r="B553" s="96"/>
      <c r="C553" s="96"/>
      <c r="D553" s="96"/>
      <c r="E553" s="96"/>
      <c r="F553" s="96"/>
      <c r="G553" s="96"/>
      <c r="H553" s="96"/>
      <c r="I553" s="96"/>
      <c r="J553" s="28" t="s">
        <v>74</v>
      </c>
      <c r="K553" s="96"/>
      <c r="L553" s="96"/>
      <c r="M553" s="96"/>
      <c r="N553" s="96"/>
      <c r="O553" s="96"/>
      <c r="P553" s="102"/>
      <c r="Q553" s="113"/>
      <c r="R553" s="103"/>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8">
        <v>82414.12</v>
      </c>
      <c r="Q554" s="118"/>
      <c r="R554" s="109"/>
    </row>
    <row r="555" spans="1:18" ht="18" thickBot="1">
      <c r="A555" s="100" t="s">
        <v>78</v>
      </c>
      <c r="B555" s="101"/>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8">
        <v>82414.12</v>
      </c>
      <c r="Q555" s="118"/>
      <c r="R555" s="109"/>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100" t="s">
        <v>95</v>
      </c>
      <c r="B562" s="101"/>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N146"/>
  <sheetViews>
    <sheetView topLeftCell="D1" zoomScale="80" zoomScaleNormal="80" workbookViewId="0">
      <selection activeCell="E8" sqref="E8"/>
    </sheetView>
  </sheetViews>
  <sheetFormatPr baseColWidth="10" defaultColWidth="9.1640625" defaultRowHeight="14"/>
  <cols>
    <col min="1" max="1" width="9.1640625" style="42"/>
    <col min="2" max="2" width="43.1640625" style="69" customWidth="1"/>
    <col min="3" max="3" width="9.83203125" style="42" customWidth="1"/>
    <col min="4" max="4" width="68.33203125" style="44" customWidth="1"/>
    <col min="5" max="5" width="130.6640625" style="44" customWidth="1"/>
    <col min="6" max="6" width="13.6640625" style="44" bestFit="1" customWidth="1"/>
    <col min="7" max="10" width="9.1640625" style="42"/>
    <col min="11" max="11" width="59.5" style="42" bestFit="1" customWidth="1"/>
    <col min="12" max="16384" width="9.1640625" style="42"/>
  </cols>
  <sheetData>
    <row r="1" spans="1:7">
      <c r="A1" s="59" t="s">
        <v>101</v>
      </c>
      <c r="B1" s="60" t="s">
        <v>103</v>
      </c>
      <c r="C1" s="60" t="s">
        <v>45</v>
      </c>
      <c r="D1" s="70" t="s">
        <v>142</v>
      </c>
      <c r="E1" s="82" t="s">
        <v>138</v>
      </c>
      <c r="F1" s="60" t="s">
        <v>386</v>
      </c>
      <c r="G1" s="60" t="s">
        <v>46</v>
      </c>
    </row>
    <row r="2" spans="1:7">
      <c r="A2" s="43" t="s">
        <v>102</v>
      </c>
      <c r="B2" s="81" t="s">
        <v>14</v>
      </c>
      <c r="C2" s="43" t="s">
        <v>76</v>
      </c>
      <c r="D2" s="67" t="s">
        <v>198</v>
      </c>
      <c r="E2" s="41" t="s">
        <v>199</v>
      </c>
      <c r="F2" s="63"/>
      <c r="G2" s="43">
        <v>2</v>
      </c>
    </row>
    <row r="3" spans="1:7">
      <c r="A3" s="43" t="s">
        <v>102</v>
      </c>
      <c r="B3" s="81" t="s">
        <v>30</v>
      </c>
      <c r="C3" s="43" t="s">
        <v>82</v>
      </c>
      <c r="D3" s="67" t="s">
        <v>143</v>
      </c>
      <c r="E3" s="41" t="s">
        <v>156</v>
      </c>
      <c r="F3" s="63"/>
      <c r="G3" s="43">
        <v>31</v>
      </c>
    </row>
    <row r="4" spans="1:7">
      <c r="A4" s="43" t="s">
        <v>102</v>
      </c>
      <c r="B4" s="81" t="s">
        <v>11</v>
      </c>
      <c r="C4" s="43" t="s">
        <v>76</v>
      </c>
      <c r="D4" s="67" t="s">
        <v>144</v>
      </c>
      <c r="E4" s="41" t="s">
        <v>145</v>
      </c>
      <c r="F4" s="63"/>
      <c r="G4" s="43">
        <v>1</v>
      </c>
    </row>
    <row r="5" spans="1:7">
      <c r="A5" s="43" t="s">
        <v>102</v>
      </c>
      <c r="B5" s="81" t="s">
        <v>22</v>
      </c>
      <c r="C5" s="43" t="s">
        <v>76</v>
      </c>
      <c r="D5" s="67" t="s">
        <v>200</v>
      </c>
      <c r="E5" s="41" t="s">
        <v>201</v>
      </c>
      <c r="F5" s="63"/>
      <c r="G5" s="43">
        <v>2</v>
      </c>
    </row>
    <row r="6" spans="1:7">
      <c r="A6" s="43" t="s">
        <v>102</v>
      </c>
      <c r="B6" s="41" t="s">
        <v>177</v>
      </c>
      <c r="C6" s="43" t="s">
        <v>76</v>
      </c>
      <c r="D6" s="67" t="s">
        <v>202</v>
      </c>
      <c r="E6" s="41" t="s">
        <v>203</v>
      </c>
      <c r="F6" s="63"/>
      <c r="G6" s="43">
        <v>1</v>
      </c>
    </row>
    <row r="7" spans="1:7">
      <c r="A7" s="43" t="s">
        <v>102</v>
      </c>
      <c r="B7" s="41" t="s">
        <v>177</v>
      </c>
      <c r="C7" s="43" t="s">
        <v>76</v>
      </c>
      <c r="D7" s="67" t="s">
        <v>146</v>
      </c>
      <c r="E7" s="41" t="s">
        <v>204</v>
      </c>
      <c r="F7" s="63"/>
      <c r="G7" s="43">
        <v>2</v>
      </c>
    </row>
    <row r="8" spans="1:7">
      <c r="A8" s="43" t="s">
        <v>102</v>
      </c>
      <c r="B8" s="41" t="s">
        <v>177</v>
      </c>
      <c r="C8" s="43" t="s">
        <v>76</v>
      </c>
      <c r="D8" s="67" t="s">
        <v>205</v>
      </c>
      <c r="E8" s="41" t="s">
        <v>206</v>
      </c>
      <c r="F8" s="63"/>
      <c r="G8" s="43">
        <v>2</v>
      </c>
    </row>
    <row r="9" spans="1:7">
      <c r="A9" s="43" t="s">
        <v>102</v>
      </c>
      <c r="B9" s="41" t="s">
        <v>177</v>
      </c>
      <c r="C9" s="43" t="s">
        <v>76</v>
      </c>
      <c r="D9" s="67" t="s">
        <v>207</v>
      </c>
      <c r="E9" s="41" t="s">
        <v>147</v>
      </c>
      <c r="F9" s="63"/>
      <c r="G9" s="43">
        <v>1</v>
      </c>
    </row>
    <row r="10" spans="1:7">
      <c r="A10" s="43" t="s">
        <v>102</v>
      </c>
      <c r="B10" s="41" t="s">
        <v>177</v>
      </c>
      <c r="C10" s="43" t="s">
        <v>76</v>
      </c>
      <c r="D10" s="67" t="s">
        <v>208</v>
      </c>
      <c r="E10" s="41" t="s">
        <v>148</v>
      </c>
      <c r="F10" s="63"/>
      <c r="G10" s="43">
        <v>1</v>
      </c>
    </row>
    <row r="11" spans="1:7">
      <c r="A11" s="43" t="s">
        <v>102</v>
      </c>
      <c r="B11" s="41" t="s">
        <v>177</v>
      </c>
      <c r="C11" s="43" t="s">
        <v>76</v>
      </c>
      <c r="D11" s="67" t="s">
        <v>209</v>
      </c>
      <c r="E11" s="41" t="s">
        <v>149</v>
      </c>
      <c r="F11" s="63"/>
      <c r="G11" s="43">
        <v>1</v>
      </c>
    </row>
    <row r="12" spans="1:7">
      <c r="A12" s="43" t="s">
        <v>102</v>
      </c>
      <c r="B12" s="41" t="s">
        <v>177</v>
      </c>
      <c r="C12" s="43" t="s">
        <v>76</v>
      </c>
      <c r="D12" s="67" t="s">
        <v>210</v>
      </c>
      <c r="E12" s="41" t="s">
        <v>149</v>
      </c>
      <c r="F12" s="63"/>
      <c r="G12" s="43">
        <v>1</v>
      </c>
    </row>
    <row r="13" spans="1:7">
      <c r="A13" s="43" t="s">
        <v>102</v>
      </c>
      <c r="B13" s="41" t="s">
        <v>177</v>
      </c>
      <c r="C13" s="43" t="s">
        <v>76</v>
      </c>
      <c r="D13" s="67" t="s">
        <v>211</v>
      </c>
      <c r="E13" s="41" t="s">
        <v>150</v>
      </c>
      <c r="F13" s="63"/>
      <c r="G13" s="43">
        <v>2</v>
      </c>
    </row>
    <row r="14" spans="1:7">
      <c r="A14" s="43" t="s">
        <v>102</v>
      </c>
      <c r="B14" s="41" t="s">
        <v>177</v>
      </c>
      <c r="C14" s="43" t="s">
        <v>76</v>
      </c>
      <c r="D14" s="67" t="s">
        <v>212</v>
      </c>
      <c r="E14" s="41" t="s">
        <v>151</v>
      </c>
      <c r="F14" s="63"/>
      <c r="G14" s="43">
        <v>1</v>
      </c>
    </row>
    <row r="15" spans="1:7">
      <c r="A15" s="43" t="s">
        <v>102</v>
      </c>
      <c r="B15" s="41" t="s">
        <v>177</v>
      </c>
      <c r="C15" s="43" t="s">
        <v>76</v>
      </c>
      <c r="D15" s="67" t="s">
        <v>213</v>
      </c>
      <c r="E15" s="41" t="s">
        <v>214</v>
      </c>
      <c r="F15" s="63"/>
      <c r="G15" s="43">
        <v>2</v>
      </c>
    </row>
    <row r="16" spans="1:7">
      <c r="A16" s="43" t="s">
        <v>102</v>
      </c>
      <c r="B16" s="41" t="s">
        <v>177</v>
      </c>
      <c r="C16" s="43" t="s">
        <v>76</v>
      </c>
      <c r="D16" s="67" t="s">
        <v>215</v>
      </c>
      <c r="E16" s="41" t="s">
        <v>216</v>
      </c>
      <c r="F16" s="63"/>
      <c r="G16" s="43">
        <v>6</v>
      </c>
    </row>
    <row r="17" spans="1:7">
      <c r="A17" s="43" t="s">
        <v>102</v>
      </c>
      <c r="B17" s="41" t="s">
        <v>177</v>
      </c>
      <c r="C17" s="43" t="s">
        <v>76</v>
      </c>
      <c r="D17" s="67" t="s">
        <v>217</v>
      </c>
      <c r="E17" s="41" t="s">
        <v>218</v>
      </c>
      <c r="F17" s="63"/>
      <c r="G17" s="43">
        <v>3</v>
      </c>
    </row>
    <row r="18" spans="1:7">
      <c r="A18" s="43" t="s">
        <v>102</v>
      </c>
      <c r="B18" s="41" t="s">
        <v>177</v>
      </c>
      <c r="C18" s="43" t="s">
        <v>76</v>
      </c>
      <c r="D18" s="67" t="s">
        <v>219</v>
      </c>
      <c r="E18" s="41" t="s">
        <v>220</v>
      </c>
      <c r="F18" s="63"/>
      <c r="G18" s="43">
        <v>1</v>
      </c>
    </row>
    <row r="19" spans="1:7">
      <c r="A19" s="43" t="s">
        <v>102</v>
      </c>
      <c r="B19" s="41" t="s">
        <v>177</v>
      </c>
      <c r="C19" s="43" t="s">
        <v>76</v>
      </c>
      <c r="D19" s="67" t="s">
        <v>221</v>
      </c>
      <c r="E19" s="41" t="s">
        <v>222</v>
      </c>
      <c r="F19" s="63"/>
      <c r="G19" s="43">
        <v>1</v>
      </c>
    </row>
    <row r="20" spans="1:7">
      <c r="A20" s="43" t="s">
        <v>102</v>
      </c>
      <c r="B20" s="41" t="s">
        <v>177</v>
      </c>
      <c r="C20" s="43" t="s">
        <v>76</v>
      </c>
      <c r="D20" s="67" t="s">
        <v>223</v>
      </c>
      <c r="E20" s="41" t="s">
        <v>224</v>
      </c>
      <c r="F20" s="63"/>
      <c r="G20" s="43">
        <v>4</v>
      </c>
    </row>
    <row r="21" spans="1:7">
      <c r="A21" s="43" t="s">
        <v>102</v>
      </c>
      <c r="B21" s="41" t="s">
        <v>177</v>
      </c>
      <c r="C21" s="43" t="s">
        <v>76</v>
      </c>
      <c r="D21" s="67" t="s">
        <v>225</v>
      </c>
      <c r="E21" s="41" t="s">
        <v>226</v>
      </c>
      <c r="F21" s="63"/>
      <c r="G21" s="43">
        <v>2</v>
      </c>
    </row>
    <row r="22" spans="1:7">
      <c r="A22" s="43" t="s">
        <v>102</v>
      </c>
      <c r="B22" s="41" t="s">
        <v>177</v>
      </c>
      <c r="C22" s="43" t="s">
        <v>76</v>
      </c>
      <c r="D22" s="67" t="s">
        <v>227</v>
      </c>
      <c r="E22" s="41" t="s">
        <v>153</v>
      </c>
      <c r="F22" s="63"/>
      <c r="G22" s="43">
        <v>1</v>
      </c>
    </row>
    <row r="23" spans="1:7">
      <c r="A23" s="43" t="s">
        <v>102</v>
      </c>
      <c r="B23" s="41" t="s">
        <v>177</v>
      </c>
      <c r="C23" s="43" t="s">
        <v>76</v>
      </c>
      <c r="D23" s="67" t="s">
        <v>228</v>
      </c>
      <c r="E23" s="41" t="s">
        <v>229</v>
      </c>
      <c r="F23" s="63"/>
      <c r="G23" s="43">
        <v>1</v>
      </c>
    </row>
    <row r="24" spans="1:7">
      <c r="A24" s="43" t="s">
        <v>102</v>
      </c>
      <c r="B24" s="41" t="s">
        <v>177</v>
      </c>
      <c r="C24" s="43" t="s">
        <v>76</v>
      </c>
      <c r="D24" s="67" t="s">
        <v>230</v>
      </c>
      <c r="E24" s="41" t="s">
        <v>231</v>
      </c>
      <c r="F24" s="63"/>
      <c r="G24" s="43">
        <v>1</v>
      </c>
    </row>
    <row r="25" spans="1:7">
      <c r="A25" s="43" t="s">
        <v>102</v>
      </c>
      <c r="B25" s="41" t="s">
        <v>177</v>
      </c>
      <c r="C25" s="43" t="s">
        <v>76</v>
      </c>
      <c r="D25" s="67" t="s">
        <v>232</v>
      </c>
      <c r="E25" s="41" t="s">
        <v>233</v>
      </c>
      <c r="F25" s="63"/>
      <c r="G25" s="43">
        <v>1</v>
      </c>
    </row>
    <row r="26" spans="1:7">
      <c r="A26" s="43" t="s">
        <v>102</v>
      </c>
      <c r="B26" s="41" t="s">
        <v>177</v>
      </c>
      <c r="C26" s="43" t="s">
        <v>76</v>
      </c>
      <c r="D26" s="67" t="s">
        <v>234</v>
      </c>
      <c r="E26" s="41" t="s">
        <v>235</v>
      </c>
      <c r="F26" s="63"/>
      <c r="G26" s="43">
        <v>1</v>
      </c>
    </row>
    <row r="27" spans="1:7">
      <c r="A27" s="43" t="s">
        <v>102</v>
      </c>
      <c r="B27" s="41" t="s">
        <v>376</v>
      </c>
      <c r="C27" s="43" t="s">
        <v>76</v>
      </c>
      <c r="D27" s="67" t="s">
        <v>236</v>
      </c>
      <c r="E27" s="41" t="s">
        <v>237</v>
      </c>
      <c r="F27" s="63"/>
      <c r="G27" s="43">
        <v>1</v>
      </c>
    </row>
    <row r="28" spans="1:7">
      <c r="A28" s="43" t="s">
        <v>102</v>
      </c>
      <c r="B28" s="41" t="s">
        <v>376</v>
      </c>
      <c r="C28" s="43" t="s">
        <v>76</v>
      </c>
      <c r="D28" s="67" t="s">
        <v>238</v>
      </c>
      <c r="E28" s="41" t="s">
        <v>239</v>
      </c>
      <c r="F28" s="63"/>
      <c r="G28" s="43">
        <v>1</v>
      </c>
    </row>
    <row r="29" spans="1:7">
      <c r="A29" s="43" t="s">
        <v>102</v>
      </c>
      <c r="B29" s="41" t="s">
        <v>376</v>
      </c>
      <c r="C29" s="43" t="s">
        <v>76</v>
      </c>
      <c r="D29" s="67" t="s">
        <v>240</v>
      </c>
      <c r="E29" s="41" t="s">
        <v>241</v>
      </c>
      <c r="F29" s="63"/>
      <c r="G29" s="43">
        <v>1</v>
      </c>
    </row>
    <row r="30" spans="1:7">
      <c r="A30" s="43" t="s">
        <v>102</v>
      </c>
      <c r="B30" s="41" t="s">
        <v>376</v>
      </c>
      <c r="C30" s="43" t="s">
        <v>76</v>
      </c>
      <c r="D30" s="67" t="s">
        <v>242</v>
      </c>
      <c r="E30" s="41" t="s">
        <v>243</v>
      </c>
      <c r="F30" s="63"/>
      <c r="G30" s="43">
        <v>1</v>
      </c>
    </row>
    <row r="31" spans="1:7">
      <c r="A31" s="43" t="s">
        <v>102</v>
      </c>
      <c r="B31" s="41" t="s">
        <v>376</v>
      </c>
      <c r="C31" s="43" t="s">
        <v>76</v>
      </c>
      <c r="D31" s="67" t="s">
        <v>244</v>
      </c>
      <c r="E31" s="41" t="s">
        <v>245</v>
      </c>
      <c r="F31" s="63"/>
      <c r="G31" s="43">
        <v>1</v>
      </c>
    </row>
    <row r="32" spans="1:7">
      <c r="A32" s="43" t="s">
        <v>102</v>
      </c>
      <c r="B32" s="41" t="s">
        <v>376</v>
      </c>
      <c r="C32" s="43" t="s">
        <v>76</v>
      </c>
      <c r="D32" s="67" t="s">
        <v>246</v>
      </c>
      <c r="E32" s="41" t="s">
        <v>247</v>
      </c>
      <c r="F32" s="63"/>
      <c r="G32" s="43">
        <v>1</v>
      </c>
    </row>
    <row r="33" spans="1:7">
      <c r="A33" s="43" t="s">
        <v>102</v>
      </c>
      <c r="B33" s="81" t="s">
        <v>23</v>
      </c>
      <c r="C33" s="43" t="s">
        <v>76</v>
      </c>
      <c r="D33" s="67" t="s">
        <v>248</v>
      </c>
      <c r="E33" s="41" t="s">
        <v>249</v>
      </c>
      <c r="F33" s="63"/>
      <c r="G33" s="43">
        <v>1</v>
      </c>
    </row>
    <row r="34" spans="1:7">
      <c r="A34" s="43" t="s">
        <v>102</v>
      </c>
      <c r="B34" s="41" t="s">
        <v>250</v>
      </c>
      <c r="C34" s="43" t="s">
        <v>82</v>
      </c>
      <c r="D34" s="67" t="s">
        <v>251</v>
      </c>
      <c r="E34" s="41" t="s">
        <v>252</v>
      </c>
      <c r="F34" s="63"/>
      <c r="G34" s="43">
        <v>5</v>
      </c>
    </row>
    <row r="35" spans="1:7">
      <c r="A35" s="43" t="s">
        <v>102</v>
      </c>
      <c r="B35" s="41" t="s">
        <v>105</v>
      </c>
      <c r="C35" s="43" t="s">
        <v>76</v>
      </c>
      <c r="D35" s="67" t="s">
        <v>253</v>
      </c>
      <c r="E35" s="41" t="s">
        <v>254</v>
      </c>
      <c r="F35" s="63"/>
      <c r="G35" s="43">
        <v>1</v>
      </c>
    </row>
    <row r="36" spans="1:7">
      <c r="A36" s="43" t="s">
        <v>102</v>
      </c>
      <c r="B36" s="41" t="s">
        <v>21</v>
      </c>
      <c r="C36" s="43" t="s">
        <v>82</v>
      </c>
      <c r="D36" s="67" t="s">
        <v>155</v>
      </c>
      <c r="E36" s="41" t="s">
        <v>255</v>
      </c>
      <c r="F36" s="63"/>
      <c r="G36" s="43">
        <v>1</v>
      </c>
    </row>
    <row r="37" spans="1:7">
      <c r="A37" s="43" t="s">
        <v>102</v>
      </c>
      <c r="B37" s="41" t="s">
        <v>20</v>
      </c>
      <c r="C37" s="43" t="s">
        <v>76</v>
      </c>
      <c r="D37" s="67" t="s">
        <v>256</v>
      </c>
      <c r="E37" s="41" t="s">
        <v>257</v>
      </c>
      <c r="F37" s="63"/>
      <c r="G37" s="43">
        <v>1</v>
      </c>
    </row>
    <row r="38" spans="1:7">
      <c r="A38" s="43" t="s">
        <v>129</v>
      </c>
      <c r="B38" s="41" t="s">
        <v>30</v>
      </c>
      <c r="C38" s="43" t="s">
        <v>82</v>
      </c>
      <c r="D38" s="67" t="s">
        <v>258</v>
      </c>
      <c r="E38" s="41" t="s">
        <v>156</v>
      </c>
      <c r="F38" s="63"/>
      <c r="G38" s="43">
        <v>6</v>
      </c>
    </row>
    <row r="39" spans="1:7">
      <c r="A39" s="43" t="s">
        <v>129</v>
      </c>
      <c r="B39" s="41" t="s">
        <v>136</v>
      </c>
      <c r="C39" s="43" t="s">
        <v>76</v>
      </c>
      <c r="D39" s="67" t="s">
        <v>259</v>
      </c>
      <c r="E39" s="41" t="s">
        <v>260</v>
      </c>
      <c r="F39" s="63"/>
      <c r="G39" s="43">
        <v>2</v>
      </c>
    </row>
    <row r="40" spans="1:7">
      <c r="A40" s="43" t="s">
        <v>129</v>
      </c>
      <c r="B40" s="41" t="s">
        <v>137</v>
      </c>
      <c r="C40" s="43" t="s">
        <v>82</v>
      </c>
      <c r="D40" s="67" t="s">
        <v>261</v>
      </c>
      <c r="E40" s="41" t="s">
        <v>262</v>
      </c>
      <c r="F40" s="63"/>
      <c r="G40" s="43">
        <v>6</v>
      </c>
    </row>
    <row r="41" spans="1:7">
      <c r="A41" s="43" t="s">
        <v>129</v>
      </c>
      <c r="B41" s="41" t="s">
        <v>178</v>
      </c>
      <c r="C41" s="43" t="s">
        <v>76</v>
      </c>
      <c r="D41" s="80" t="s">
        <v>263</v>
      </c>
      <c r="E41" s="41" t="s">
        <v>264</v>
      </c>
      <c r="F41" s="63"/>
      <c r="G41" s="43">
        <v>8</v>
      </c>
    </row>
    <row r="42" spans="1:7">
      <c r="A42" s="43" t="s">
        <v>129</v>
      </c>
      <c r="B42" s="41" t="s">
        <v>178</v>
      </c>
      <c r="C42" s="43" t="s">
        <v>76</v>
      </c>
      <c r="D42" s="67" t="s">
        <v>265</v>
      </c>
      <c r="E42" s="41" t="s">
        <v>266</v>
      </c>
      <c r="F42" s="63"/>
      <c r="G42" s="43">
        <v>1</v>
      </c>
    </row>
    <row r="43" spans="1:7">
      <c r="A43" s="43" t="s">
        <v>129</v>
      </c>
      <c r="B43" s="41" t="s">
        <v>178</v>
      </c>
      <c r="C43" s="43" t="s">
        <v>76</v>
      </c>
      <c r="D43" s="67" t="s">
        <v>267</v>
      </c>
      <c r="E43" s="41" t="s">
        <v>139</v>
      </c>
      <c r="F43" s="63"/>
      <c r="G43" s="43">
        <v>1</v>
      </c>
    </row>
    <row r="44" spans="1:7">
      <c r="A44" s="43" t="s">
        <v>129</v>
      </c>
      <c r="B44" s="41" t="s">
        <v>178</v>
      </c>
      <c r="C44" s="43" t="s">
        <v>76</v>
      </c>
      <c r="D44" s="67" t="s">
        <v>268</v>
      </c>
      <c r="E44" s="41" t="s">
        <v>140</v>
      </c>
      <c r="F44" s="63"/>
      <c r="G44" s="43">
        <v>1</v>
      </c>
    </row>
    <row r="45" spans="1:7">
      <c r="A45" s="43" t="s">
        <v>129</v>
      </c>
      <c r="B45" s="41" t="s">
        <v>178</v>
      </c>
      <c r="C45" s="43" t="s">
        <v>76</v>
      </c>
      <c r="D45" s="80" t="s">
        <v>269</v>
      </c>
      <c r="E45" s="41" t="s">
        <v>141</v>
      </c>
      <c r="F45" s="63"/>
      <c r="G45" s="43">
        <v>1</v>
      </c>
    </row>
    <row r="46" spans="1:7">
      <c r="A46" s="43" t="s">
        <v>129</v>
      </c>
      <c r="B46" s="41" t="s">
        <v>178</v>
      </c>
      <c r="C46" s="43" t="s">
        <v>76</v>
      </c>
      <c r="D46" s="67" t="s">
        <v>270</v>
      </c>
      <c r="E46" s="41" t="s">
        <v>157</v>
      </c>
      <c r="F46" s="63"/>
      <c r="G46" s="43">
        <v>1</v>
      </c>
    </row>
    <row r="47" spans="1:7">
      <c r="A47" s="43" t="s">
        <v>129</v>
      </c>
      <c r="B47" s="41" t="s">
        <v>178</v>
      </c>
      <c r="C47" s="43" t="s">
        <v>76</v>
      </c>
      <c r="D47" s="67" t="s">
        <v>271</v>
      </c>
      <c r="E47" s="41" t="s">
        <v>158</v>
      </c>
      <c r="F47" s="63"/>
      <c r="G47" s="43">
        <v>2</v>
      </c>
    </row>
    <row r="48" spans="1:7">
      <c r="A48" s="43" t="s">
        <v>129</v>
      </c>
      <c r="B48" s="41" t="s">
        <v>178</v>
      </c>
      <c r="C48" s="43" t="s">
        <v>76</v>
      </c>
      <c r="D48" s="67" t="s">
        <v>272</v>
      </c>
      <c r="E48" s="41" t="s">
        <v>273</v>
      </c>
      <c r="F48" s="63"/>
      <c r="G48" s="43">
        <v>2</v>
      </c>
    </row>
    <row r="49" spans="1:14">
      <c r="A49" s="43" t="s">
        <v>129</v>
      </c>
      <c r="B49" s="41" t="s">
        <v>178</v>
      </c>
      <c r="C49" s="43" t="s">
        <v>76</v>
      </c>
      <c r="D49" s="67" t="s">
        <v>274</v>
      </c>
      <c r="E49" s="41" t="s">
        <v>275</v>
      </c>
      <c r="F49" s="63"/>
      <c r="G49" s="43">
        <v>1</v>
      </c>
    </row>
    <row r="50" spans="1:14">
      <c r="A50" s="43" t="s">
        <v>129</v>
      </c>
      <c r="B50" s="41" t="s">
        <v>105</v>
      </c>
      <c r="C50" s="43" t="s">
        <v>76</v>
      </c>
      <c r="D50" s="67" t="s">
        <v>276</v>
      </c>
      <c r="E50" s="41" t="s">
        <v>277</v>
      </c>
      <c r="F50" s="63"/>
      <c r="G50" s="43">
        <v>6</v>
      </c>
    </row>
    <row r="51" spans="1:14">
      <c r="A51" s="43" t="s">
        <v>104</v>
      </c>
      <c r="B51" s="41" t="s">
        <v>24</v>
      </c>
      <c r="C51" s="43" t="s">
        <v>76</v>
      </c>
      <c r="D51" s="67" t="s">
        <v>278</v>
      </c>
      <c r="E51" s="41" t="s">
        <v>279</v>
      </c>
      <c r="F51" s="43"/>
      <c r="G51" s="43">
        <v>6</v>
      </c>
    </row>
    <row r="52" spans="1:14">
      <c r="A52" s="43" t="s">
        <v>104</v>
      </c>
      <c r="B52" s="41" t="s">
        <v>111</v>
      </c>
      <c r="C52" s="43" t="s">
        <v>76</v>
      </c>
      <c r="D52" s="67" t="s">
        <v>280</v>
      </c>
      <c r="E52" s="41" t="s">
        <v>281</v>
      </c>
      <c r="F52" s="43"/>
      <c r="G52" s="43">
        <v>2</v>
      </c>
    </row>
    <row r="53" spans="1:14">
      <c r="A53" s="43" t="s">
        <v>104</v>
      </c>
      <c r="B53" s="41" t="s">
        <v>14</v>
      </c>
      <c r="C53" s="43" t="s">
        <v>76</v>
      </c>
      <c r="D53" s="67" t="s">
        <v>282</v>
      </c>
      <c r="E53" s="41" t="s">
        <v>283</v>
      </c>
      <c r="F53" s="43"/>
      <c r="G53" s="43">
        <v>1</v>
      </c>
      <c r="J53" s="42" t="s">
        <v>104</v>
      </c>
      <c r="K53" s="42" t="s">
        <v>24</v>
      </c>
      <c r="L53" s="42" t="s">
        <v>76</v>
      </c>
      <c r="M53" s="42" t="s">
        <v>278</v>
      </c>
      <c r="N53" s="42" t="s">
        <v>279</v>
      </c>
    </row>
    <row r="54" spans="1:14">
      <c r="A54" s="43" t="s">
        <v>104</v>
      </c>
      <c r="B54" s="41" t="s">
        <v>127</v>
      </c>
      <c r="C54" s="43" t="s">
        <v>76</v>
      </c>
      <c r="D54" s="67" t="s">
        <v>284</v>
      </c>
      <c r="E54" s="41" t="s">
        <v>285</v>
      </c>
      <c r="F54" s="43"/>
      <c r="G54" s="43">
        <v>2</v>
      </c>
      <c r="J54" s="42" t="s">
        <v>104</v>
      </c>
      <c r="K54" s="42" t="s">
        <v>111</v>
      </c>
      <c r="L54" s="42" t="s">
        <v>76</v>
      </c>
      <c r="M54" s="42" t="s">
        <v>280</v>
      </c>
      <c r="N54" s="42" t="s">
        <v>281</v>
      </c>
    </row>
    <row r="55" spans="1:14">
      <c r="A55" s="43" t="s">
        <v>104</v>
      </c>
      <c r="B55" s="41" t="s">
        <v>116</v>
      </c>
      <c r="C55" s="43" t="s">
        <v>76</v>
      </c>
      <c r="D55" s="67" t="s">
        <v>286</v>
      </c>
      <c r="E55" s="41" t="s">
        <v>287</v>
      </c>
      <c r="F55" s="43"/>
      <c r="G55" s="43">
        <v>1</v>
      </c>
      <c r="J55" s="42" t="s">
        <v>104</v>
      </c>
      <c r="K55" s="42" t="s">
        <v>14</v>
      </c>
      <c r="L55" s="42" t="s">
        <v>76</v>
      </c>
      <c r="M55" s="42" t="s">
        <v>282</v>
      </c>
      <c r="N55" s="42" t="s">
        <v>283</v>
      </c>
    </row>
    <row r="56" spans="1:14">
      <c r="A56" s="43" t="s">
        <v>104</v>
      </c>
      <c r="B56" s="41" t="s">
        <v>113</v>
      </c>
      <c r="C56" s="43" t="s">
        <v>76</v>
      </c>
      <c r="D56" s="67" t="s">
        <v>288</v>
      </c>
      <c r="E56" s="41" t="s">
        <v>289</v>
      </c>
      <c r="F56" s="43"/>
      <c r="G56" s="43">
        <v>1</v>
      </c>
      <c r="J56" s="42" t="s">
        <v>104</v>
      </c>
      <c r="K56" s="42" t="s">
        <v>127</v>
      </c>
      <c r="L56" s="42" t="s">
        <v>76</v>
      </c>
      <c r="M56" s="42" t="s">
        <v>284</v>
      </c>
      <c r="N56" s="42" t="s">
        <v>285</v>
      </c>
    </row>
    <row r="57" spans="1:14">
      <c r="A57" s="43" t="s">
        <v>104</v>
      </c>
      <c r="B57" s="41" t="s">
        <v>112</v>
      </c>
      <c r="C57" s="43" t="s">
        <v>76</v>
      </c>
      <c r="D57" s="67" t="s">
        <v>290</v>
      </c>
      <c r="E57" s="41" t="s">
        <v>291</v>
      </c>
      <c r="F57" s="43"/>
      <c r="G57" s="43">
        <v>3</v>
      </c>
      <c r="J57" s="42" t="s">
        <v>104</v>
      </c>
      <c r="K57" s="42" t="s">
        <v>116</v>
      </c>
      <c r="L57" s="42" t="s">
        <v>76</v>
      </c>
      <c r="M57" s="42" t="s">
        <v>286</v>
      </c>
      <c r="N57" s="42" t="s">
        <v>287</v>
      </c>
    </row>
    <row r="58" spans="1:14">
      <c r="A58" s="43" t="s">
        <v>104</v>
      </c>
      <c r="B58" s="41" t="s">
        <v>11</v>
      </c>
      <c r="C58" s="43" t="s">
        <v>76</v>
      </c>
      <c r="D58" s="67" t="s">
        <v>292</v>
      </c>
      <c r="E58" s="41" t="s">
        <v>293</v>
      </c>
      <c r="F58" s="43"/>
      <c r="G58" s="43">
        <v>1</v>
      </c>
      <c r="J58" s="42" t="s">
        <v>104</v>
      </c>
      <c r="K58" s="42" t="s">
        <v>113</v>
      </c>
      <c r="L58" s="42" t="s">
        <v>76</v>
      </c>
      <c r="M58" s="42" t="s">
        <v>288</v>
      </c>
      <c r="N58" s="42" t="s">
        <v>289</v>
      </c>
    </row>
    <row r="59" spans="1:14">
      <c r="A59" s="43" t="s">
        <v>104</v>
      </c>
      <c r="B59" s="41" t="s">
        <v>22</v>
      </c>
      <c r="C59" s="43" t="s">
        <v>76</v>
      </c>
      <c r="D59" s="67" t="s">
        <v>294</v>
      </c>
      <c r="E59" s="41" t="s">
        <v>295</v>
      </c>
      <c r="F59" s="43"/>
      <c r="G59" s="43">
        <v>3</v>
      </c>
      <c r="J59" s="42" t="s">
        <v>104</v>
      </c>
      <c r="K59" s="42" t="s">
        <v>112</v>
      </c>
      <c r="L59" s="42" t="s">
        <v>76</v>
      </c>
      <c r="M59" s="42" t="s">
        <v>290</v>
      </c>
      <c r="N59" s="42" t="s">
        <v>291</v>
      </c>
    </row>
    <row r="60" spans="1:14">
      <c r="A60" s="43" t="s">
        <v>104</v>
      </c>
      <c r="B60" s="41" t="s">
        <v>118</v>
      </c>
      <c r="C60" s="43" t="s">
        <v>76</v>
      </c>
      <c r="D60" s="67" t="s">
        <v>296</v>
      </c>
      <c r="E60" s="41" t="s">
        <v>297</v>
      </c>
      <c r="F60" s="43"/>
      <c r="G60" s="43">
        <v>4</v>
      </c>
      <c r="J60" s="42" t="s">
        <v>104</v>
      </c>
      <c r="K60" s="42" t="s">
        <v>11</v>
      </c>
      <c r="L60" s="42" t="s">
        <v>76</v>
      </c>
      <c r="M60" s="42" t="s">
        <v>292</v>
      </c>
      <c r="N60" s="42" t="s">
        <v>293</v>
      </c>
    </row>
    <row r="61" spans="1:14">
      <c r="A61" s="43" t="s">
        <v>104</v>
      </c>
      <c r="B61" s="41" t="s">
        <v>25</v>
      </c>
      <c r="C61" s="43" t="s">
        <v>76</v>
      </c>
      <c r="D61" s="67" t="s">
        <v>298</v>
      </c>
      <c r="E61" s="41" t="s">
        <v>299</v>
      </c>
      <c r="F61" s="43"/>
      <c r="G61" s="43">
        <v>1</v>
      </c>
      <c r="J61" s="42" t="s">
        <v>104</v>
      </c>
      <c r="K61" s="42" t="s">
        <v>22</v>
      </c>
      <c r="L61" s="42" t="s">
        <v>76</v>
      </c>
      <c r="M61" s="42" t="s">
        <v>294</v>
      </c>
      <c r="N61" s="42" t="s">
        <v>295</v>
      </c>
    </row>
    <row r="62" spans="1:14">
      <c r="A62" s="43" t="s">
        <v>104</v>
      </c>
      <c r="B62" s="41" t="s">
        <v>117</v>
      </c>
      <c r="C62" s="43" t="s">
        <v>76</v>
      </c>
      <c r="D62" s="67" t="s">
        <v>300</v>
      </c>
      <c r="E62" s="41" t="s">
        <v>301</v>
      </c>
      <c r="F62" s="43"/>
      <c r="G62" s="43">
        <v>1</v>
      </c>
      <c r="J62" s="42" t="s">
        <v>104</v>
      </c>
      <c r="K62" s="42" t="s">
        <v>118</v>
      </c>
      <c r="L62" s="42" t="s">
        <v>76</v>
      </c>
      <c r="M62" s="42" t="s">
        <v>296</v>
      </c>
      <c r="N62" s="42" t="s">
        <v>297</v>
      </c>
    </row>
    <row r="63" spans="1:14">
      <c r="A63" s="43" t="s">
        <v>104</v>
      </c>
      <c r="B63" s="41" t="s">
        <v>26</v>
      </c>
      <c r="C63" s="43" t="s">
        <v>76</v>
      </c>
      <c r="D63" s="67" t="s">
        <v>302</v>
      </c>
      <c r="E63" s="41" t="s">
        <v>303</v>
      </c>
      <c r="F63" s="43"/>
      <c r="G63" s="43">
        <v>1</v>
      </c>
      <c r="J63" s="42" t="s">
        <v>104</v>
      </c>
      <c r="K63" s="42" t="s">
        <v>25</v>
      </c>
      <c r="L63" s="42" t="s">
        <v>76</v>
      </c>
      <c r="M63" s="42" t="s">
        <v>298</v>
      </c>
      <c r="N63" s="42" t="s">
        <v>299</v>
      </c>
    </row>
    <row r="64" spans="1:14">
      <c r="A64" s="43" t="s">
        <v>104</v>
      </c>
      <c r="B64" s="41" t="s">
        <v>109</v>
      </c>
      <c r="C64" s="43" t="s">
        <v>76</v>
      </c>
      <c r="D64" s="67" t="s">
        <v>304</v>
      </c>
      <c r="E64" s="41" t="s">
        <v>305</v>
      </c>
      <c r="F64" s="43"/>
      <c r="G64" s="43">
        <v>2</v>
      </c>
      <c r="J64" s="42" t="s">
        <v>104</v>
      </c>
      <c r="K64" s="42" t="s">
        <v>117</v>
      </c>
      <c r="L64" s="42" t="s">
        <v>76</v>
      </c>
      <c r="M64" s="42" t="s">
        <v>300</v>
      </c>
      <c r="N64" s="42" t="s">
        <v>301</v>
      </c>
    </row>
    <row r="65" spans="1:14">
      <c r="A65" s="43" t="s">
        <v>104</v>
      </c>
      <c r="B65" s="41" t="s">
        <v>124</v>
      </c>
      <c r="C65" s="43" t="s">
        <v>76</v>
      </c>
      <c r="D65" s="67" t="s">
        <v>306</v>
      </c>
      <c r="E65" s="41" t="s">
        <v>307</v>
      </c>
      <c r="F65" s="43"/>
      <c r="G65" s="43">
        <v>2</v>
      </c>
      <c r="J65" s="42" t="s">
        <v>104</v>
      </c>
      <c r="K65" s="42" t="s">
        <v>26</v>
      </c>
      <c r="L65" s="42" t="s">
        <v>76</v>
      </c>
      <c r="M65" s="42" t="s">
        <v>302</v>
      </c>
      <c r="N65" s="42" t="s">
        <v>303</v>
      </c>
    </row>
    <row r="66" spans="1:14">
      <c r="A66" s="43" t="s">
        <v>104</v>
      </c>
      <c r="B66" s="41" t="s">
        <v>119</v>
      </c>
      <c r="C66" s="43" t="s">
        <v>76</v>
      </c>
      <c r="D66" s="67" t="s">
        <v>308</v>
      </c>
      <c r="E66" s="41" t="s">
        <v>309</v>
      </c>
      <c r="F66" s="43"/>
      <c r="G66" s="43">
        <v>2</v>
      </c>
      <c r="J66" s="42" t="s">
        <v>104</v>
      </c>
      <c r="K66" s="42" t="s">
        <v>109</v>
      </c>
      <c r="L66" s="42" t="s">
        <v>76</v>
      </c>
      <c r="M66" s="42" t="s">
        <v>304</v>
      </c>
      <c r="N66" s="42" t="s">
        <v>305</v>
      </c>
    </row>
    <row r="67" spans="1:14">
      <c r="A67" s="43" t="s">
        <v>104</v>
      </c>
      <c r="B67" s="41" t="s">
        <v>120</v>
      </c>
      <c r="C67" s="43" t="s">
        <v>76</v>
      </c>
      <c r="D67" s="67" t="s">
        <v>310</v>
      </c>
      <c r="E67" s="41" t="s">
        <v>311</v>
      </c>
      <c r="F67" s="43"/>
      <c r="G67" s="43">
        <v>1</v>
      </c>
      <c r="J67" s="42" t="s">
        <v>104</v>
      </c>
      <c r="K67" s="42" t="s">
        <v>124</v>
      </c>
      <c r="L67" s="42" t="s">
        <v>76</v>
      </c>
      <c r="M67" s="42" t="s">
        <v>306</v>
      </c>
      <c r="N67" s="42" t="s">
        <v>307</v>
      </c>
    </row>
    <row r="68" spans="1:14">
      <c r="A68" s="43" t="s">
        <v>104</v>
      </c>
      <c r="B68" s="41" t="s">
        <v>376</v>
      </c>
      <c r="C68" s="43" t="s">
        <v>76</v>
      </c>
      <c r="D68" s="67" t="s">
        <v>176</v>
      </c>
      <c r="E68" s="41" t="s">
        <v>312</v>
      </c>
      <c r="F68" s="43"/>
      <c r="G68" s="43">
        <v>1</v>
      </c>
      <c r="J68" s="42" t="s">
        <v>104</v>
      </c>
      <c r="K68" s="42" t="s">
        <v>119</v>
      </c>
      <c r="L68" s="42" t="s">
        <v>76</v>
      </c>
      <c r="M68" s="42" t="s">
        <v>308</v>
      </c>
      <c r="N68" s="42" t="s">
        <v>309</v>
      </c>
    </row>
    <row r="69" spans="1:14">
      <c r="A69" s="43" t="s">
        <v>104</v>
      </c>
      <c r="B69" s="41" t="s">
        <v>376</v>
      </c>
      <c r="C69" s="43" t="s">
        <v>76</v>
      </c>
      <c r="D69" s="67" t="s">
        <v>313</v>
      </c>
      <c r="E69" s="41" t="s">
        <v>314</v>
      </c>
      <c r="F69" s="43"/>
      <c r="G69" s="43">
        <v>1</v>
      </c>
      <c r="J69" s="42" t="s">
        <v>104</v>
      </c>
      <c r="K69" s="42" t="s">
        <v>120</v>
      </c>
      <c r="L69" s="42" t="s">
        <v>76</v>
      </c>
      <c r="M69" s="42" t="s">
        <v>310</v>
      </c>
      <c r="N69" s="42" t="s">
        <v>311</v>
      </c>
    </row>
    <row r="70" spans="1:14">
      <c r="A70" s="43" t="s">
        <v>104</v>
      </c>
      <c r="B70" s="41" t="s">
        <v>123</v>
      </c>
      <c r="C70" s="43" t="s">
        <v>76</v>
      </c>
      <c r="D70" s="67" t="s">
        <v>315</v>
      </c>
      <c r="E70" s="41" t="s">
        <v>316</v>
      </c>
      <c r="F70" s="43"/>
      <c r="G70" s="43">
        <v>1</v>
      </c>
      <c r="J70" s="42" t="s">
        <v>104</v>
      </c>
      <c r="K70" s="42" t="s">
        <v>121</v>
      </c>
      <c r="L70" s="42" t="s">
        <v>76</v>
      </c>
      <c r="M70" s="42" t="s">
        <v>176</v>
      </c>
      <c r="N70" s="42" t="s">
        <v>312</v>
      </c>
    </row>
    <row r="71" spans="1:14">
      <c r="A71" s="43" t="s">
        <v>104</v>
      </c>
      <c r="B71" s="41" t="s">
        <v>12</v>
      </c>
      <c r="C71" s="43" t="s">
        <v>76</v>
      </c>
      <c r="D71" s="67" t="s">
        <v>114</v>
      </c>
      <c r="E71" s="41" t="s">
        <v>317</v>
      </c>
      <c r="F71" s="43"/>
      <c r="G71" s="43">
        <v>1</v>
      </c>
      <c r="J71" s="42" t="s">
        <v>104</v>
      </c>
      <c r="K71" s="42" t="s">
        <v>122</v>
      </c>
      <c r="L71" s="42" t="s">
        <v>76</v>
      </c>
      <c r="M71" s="42" t="s">
        <v>313</v>
      </c>
      <c r="N71" s="42" t="s">
        <v>314</v>
      </c>
    </row>
    <row r="72" spans="1:14">
      <c r="A72" s="43" t="s">
        <v>104</v>
      </c>
      <c r="B72" s="41" t="s">
        <v>12</v>
      </c>
      <c r="C72" s="43" t="s">
        <v>76</v>
      </c>
      <c r="D72" s="67" t="s">
        <v>115</v>
      </c>
      <c r="E72" s="41" t="s">
        <v>318</v>
      </c>
      <c r="F72" s="43"/>
      <c r="G72" s="43">
        <v>1</v>
      </c>
      <c r="J72" s="42" t="s">
        <v>104</v>
      </c>
      <c r="K72" s="42" t="s">
        <v>123</v>
      </c>
      <c r="L72" s="42" t="s">
        <v>76</v>
      </c>
      <c r="M72" s="42" t="s">
        <v>315</v>
      </c>
      <c r="N72" s="42" t="s">
        <v>316</v>
      </c>
    </row>
    <row r="73" spans="1:14">
      <c r="A73" s="43" t="s">
        <v>104</v>
      </c>
      <c r="B73" s="41" t="s">
        <v>23</v>
      </c>
      <c r="C73" s="43" t="s">
        <v>76</v>
      </c>
      <c r="D73" s="67" t="s">
        <v>319</v>
      </c>
      <c r="E73" s="41" t="s">
        <v>320</v>
      </c>
      <c r="F73" s="43"/>
      <c r="G73" s="43">
        <v>3</v>
      </c>
      <c r="J73" s="42" t="s">
        <v>104</v>
      </c>
      <c r="K73" s="42" t="s">
        <v>12</v>
      </c>
      <c r="L73" s="42" t="s">
        <v>76</v>
      </c>
      <c r="M73" s="42" t="s">
        <v>114</v>
      </c>
      <c r="N73" s="42" t="s">
        <v>317</v>
      </c>
    </row>
    <row r="74" spans="1:14">
      <c r="A74" s="43" t="s">
        <v>104</v>
      </c>
      <c r="B74" s="41" t="s">
        <v>178</v>
      </c>
      <c r="C74" s="43" t="s">
        <v>76</v>
      </c>
      <c r="D74" s="67" t="s">
        <v>352</v>
      </c>
      <c r="E74" s="41" t="s">
        <v>323</v>
      </c>
      <c r="F74" s="43"/>
      <c r="G74" s="43">
        <v>6</v>
      </c>
      <c r="J74" s="42" t="s">
        <v>104</v>
      </c>
      <c r="K74" s="42" t="s">
        <v>12</v>
      </c>
      <c r="L74" s="42" t="s">
        <v>76</v>
      </c>
      <c r="M74" s="42" t="s">
        <v>115</v>
      </c>
      <c r="N74" s="42" t="s">
        <v>318</v>
      </c>
    </row>
    <row r="75" spans="1:14">
      <c r="A75" s="43" t="s">
        <v>104</v>
      </c>
      <c r="B75" s="41" t="s">
        <v>178</v>
      </c>
      <c r="C75" s="43" t="s">
        <v>76</v>
      </c>
      <c r="D75" s="67" t="s">
        <v>353</v>
      </c>
      <c r="E75" s="41" t="s">
        <v>325</v>
      </c>
      <c r="F75" s="43"/>
      <c r="G75" s="43">
        <v>6</v>
      </c>
      <c r="J75" s="42" t="s">
        <v>104</v>
      </c>
      <c r="K75" s="42" t="s">
        <v>23</v>
      </c>
      <c r="L75" s="42" t="s">
        <v>76</v>
      </c>
      <c r="M75" s="42" t="s">
        <v>319</v>
      </c>
      <c r="N75" s="42" t="s">
        <v>320</v>
      </c>
    </row>
    <row r="76" spans="1:14">
      <c r="A76" s="43" t="s">
        <v>104</v>
      </c>
      <c r="B76" s="41" t="s">
        <v>178</v>
      </c>
      <c r="C76" s="43" t="s">
        <v>76</v>
      </c>
      <c r="D76" s="67" t="s">
        <v>354</v>
      </c>
      <c r="E76" s="41" t="s">
        <v>327</v>
      </c>
      <c r="F76" s="43"/>
      <c r="G76" s="43">
        <v>4</v>
      </c>
      <c r="J76" s="42" t="s">
        <v>104</v>
      </c>
      <c r="K76" s="42" t="s">
        <v>321</v>
      </c>
      <c r="L76" s="42" t="s">
        <v>76</v>
      </c>
      <c r="M76" s="42" t="s">
        <v>322</v>
      </c>
      <c r="N76" s="42" t="s">
        <v>323</v>
      </c>
    </row>
    <row r="77" spans="1:14">
      <c r="A77" s="43" t="s">
        <v>104</v>
      </c>
      <c r="B77" s="41" t="s">
        <v>178</v>
      </c>
      <c r="C77" s="43" t="s">
        <v>76</v>
      </c>
      <c r="D77" s="67" t="s">
        <v>355</v>
      </c>
      <c r="E77" s="41" t="s">
        <v>329</v>
      </c>
      <c r="F77" s="43"/>
      <c r="G77" s="43">
        <v>4</v>
      </c>
      <c r="J77" s="42" t="s">
        <v>104</v>
      </c>
      <c r="K77" s="42" t="s">
        <v>324</v>
      </c>
      <c r="L77" s="42" t="s">
        <v>76</v>
      </c>
      <c r="M77" s="42" t="s">
        <v>322</v>
      </c>
      <c r="N77" s="42" t="s">
        <v>325</v>
      </c>
    </row>
    <row r="78" spans="1:14">
      <c r="A78" s="43" t="s">
        <v>104</v>
      </c>
      <c r="B78" s="41" t="s">
        <v>178</v>
      </c>
      <c r="C78" s="43" t="s">
        <v>76</v>
      </c>
      <c r="D78" s="67" t="s">
        <v>356</v>
      </c>
      <c r="E78" s="41" t="s">
        <v>331</v>
      </c>
      <c r="F78" s="43"/>
      <c r="G78" s="43">
        <v>4</v>
      </c>
      <c r="J78" s="42" t="s">
        <v>104</v>
      </c>
      <c r="K78" s="42" t="s">
        <v>326</v>
      </c>
      <c r="L78" s="42" t="s">
        <v>76</v>
      </c>
      <c r="M78" s="42" t="s">
        <v>322</v>
      </c>
      <c r="N78" s="42" t="s">
        <v>327</v>
      </c>
    </row>
    <row r="79" spans="1:14">
      <c r="A79" s="43" t="s">
        <v>104</v>
      </c>
      <c r="B79" s="41" t="s">
        <v>178</v>
      </c>
      <c r="C79" s="43" t="s">
        <v>76</v>
      </c>
      <c r="D79" s="67" t="s">
        <v>357</v>
      </c>
      <c r="E79" s="41" t="s">
        <v>333</v>
      </c>
      <c r="F79" s="43"/>
      <c r="G79" s="43">
        <v>2</v>
      </c>
      <c r="J79" s="42" t="s">
        <v>104</v>
      </c>
      <c r="K79" s="42" t="s">
        <v>328</v>
      </c>
      <c r="L79" s="42" t="s">
        <v>76</v>
      </c>
      <c r="M79" s="42" t="s">
        <v>322</v>
      </c>
      <c r="N79" s="42" t="s">
        <v>329</v>
      </c>
    </row>
    <row r="80" spans="1:14">
      <c r="A80" s="43" t="s">
        <v>104</v>
      </c>
      <c r="B80" s="41" t="s">
        <v>178</v>
      </c>
      <c r="C80" s="43" t="s">
        <v>76</v>
      </c>
      <c r="D80" s="67" t="s">
        <v>358</v>
      </c>
      <c r="E80" s="41" t="s">
        <v>335</v>
      </c>
      <c r="F80" s="43"/>
      <c r="G80" s="43">
        <v>2</v>
      </c>
      <c r="J80" s="42" t="s">
        <v>104</v>
      </c>
      <c r="K80" s="42" t="s">
        <v>330</v>
      </c>
      <c r="L80" s="42" t="s">
        <v>76</v>
      </c>
      <c r="M80" s="42" t="s">
        <v>322</v>
      </c>
      <c r="N80" s="42" t="s">
        <v>331</v>
      </c>
    </row>
    <row r="81" spans="1:14">
      <c r="A81" s="43" t="s">
        <v>104</v>
      </c>
      <c r="B81" s="41" t="s">
        <v>178</v>
      </c>
      <c r="C81" s="43" t="s">
        <v>76</v>
      </c>
      <c r="D81" s="67" t="s">
        <v>359</v>
      </c>
      <c r="E81" s="41" t="s">
        <v>337</v>
      </c>
      <c r="F81" s="43"/>
      <c r="G81" s="43">
        <v>2</v>
      </c>
      <c r="J81" s="42" t="s">
        <v>104</v>
      </c>
      <c r="K81" s="42" t="s">
        <v>332</v>
      </c>
      <c r="L81" s="42" t="s">
        <v>76</v>
      </c>
      <c r="M81" s="42" t="s">
        <v>322</v>
      </c>
      <c r="N81" s="42" t="s">
        <v>333</v>
      </c>
    </row>
    <row r="82" spans="1:14">
      <c r="A82" s="43" t="s">
        <v>104</v>
      </c>
      <c r="B82" s="41" t="s">
        <v>178</v>
      </c>
      <c r="C82" s="43" t="s">
        <v>76</v>
      </c>
      <c r="D82" s="67" t="s">
        <v>360</v>
      </c>
      <c r="E82" s="41" t="s">
        <v>339</v>
      </c>
      <c r="F82" s="43"/>
      <c r="G82" s="43">
        <v>2</v>
      </c>
      <c r="J82" s="42" t="s">
        <v>104</v>
      </c>
      <c r="K82" s="42" t="s">
        <v>334</v>
      </c>
      <c r="L82" s="42" t="s">
        <v>76</v>
      </c>
      <c r="M82" s="42" t="s">
        <v>322</v>
      </c>
      <c r="N82" s="42" t="s">
        <v>335</v>
      </c>
    </row>
    <row r="83" spans="1:14">
      <c r="A83" s="43" t="s">
        <v>104</v>
      </c>
      <c r="B83" s="41" t="s">
        <v>106</v>
      </c>
      <c r="C83" s="43" t="s">
        <v>76</v>
      </c>
      <c r="D83" s="67" t="s">
        <v>107</v>
      </c>
      <c r="E83" s="41" t="s">
        <v>340</v>
      </c>
      <c r="F83" s="43"/>
      <c r="G83" s="43">
        <v>2</v>
      </c>
      <c r="J83" s="42" t="s">
        <v>104</v>
      </c>
      <c r="K83" s="42" t="s">
        <v>336</v>
      </c>
      <c r="L83" s="42" t="s">
        <v>76</v>
      </c>
      <c r="M83" s="42" t="s">
        <v>322</v>
      </c>
      <c r="N83" s="42" t="s">
        <v>337</v>
      </c>
    </row>
    <row r="84" spans="1:14">
      <c r="A84" s="43" t="s">
        <v>104</v>
      </c>
      <c r="B84" s="41" t="s">
        <v>106</v>
      </c>
      <c r="C84" s="43" t="s">
        <v>76</v>
      </c>
      <c r="D84" s="67" t="s">
        <v>108</v>
      </c>
      <c r="E84" s="41" t="s">
        <v>341</v>
      </c>
      <c r="F84" s="43"/>
      <c r="G84" s="43">
        <v>1</v>
      </c>
      <c r="J84" s="42" t="s">
        <v>104</v>
      </c>
      <c r="K84" s="42" t="s">
        <v>338</v>
      </c>
      <c r="L84" s="42" t="s">
        <v>76</v>
      </c>
      <c r="M84" s="42" t="s">
        <v>322</v>
      </c>
      <c r="N84" s="42" t="s">
        <v>339</v>
      </c>
    </row>
    <row r="85" spans="1:14">
      <c r="A85" s="43" t="s">
        <v>104</v>
      </c>
      <c r="B85" s="41" t="s">
        <v>125</v>
      </c>
      <c r="C85" s="43" t="s">
        <v>82</v>
      </c>
      <c r="D85" s="67" t="s">
        <v>342</v>
      </c>
      <c r="E85" s="41" t="s">
        <v>343</v>
      </c>
      <c r="F85" s="43"/>
      <c r="G85" s="43">
        <v>2</v>
      </c>
      <c r="J85" s="42" t="s">
        <v>104</v>
      </c>
      <c r="K85" s="42" t="s">
        <v>106</v>
      </c>
      <c r="L85" s="42" t="s">
        <v>76</v>
      </c>
      <c r="M85" s="42" t="s">
        <v>107</v>
      </c>
      <c r="N85" s="42" t="s">
        <v>340</v>
      </c>
    </row>
    <row r="86" spans="1:14">
      <c r="A86" s="43" t="s">
        <v>104</v>
      </c>
      <c r="B86" s="41" t="s">
        <v>105</v>
      </c>
      <c r="C86" s="43" t="s">
        <v>76</v>
      </c>
      <c r="D86" s="67" t="s">
        <v>344</v>
      </c>
      <c r="E86" s="41" t="s">
        <v>254</v>
      </c>
      <c r="F86" s="43"/>
      <c r="G86" s="43">
        <v>2</v>
      </c>
      <c r="J86" s="42" t="s">
        <v>104</v>
      </c>
      <c r="K86" s="42" t="s">
        <v>106</v>
      </c>
      <c r="L86" s="42" t="s">
        <v>76</v>
      </c>
      <c r="M86" s="42" t="s">
        <v>108</v>
      </c>
      <c r="N86" s="42" t="s">
        <v>341</v>
      </c>
    </row>
    <row r="87" spans="1:14">
      <c r="A87" s="43" t="s">
        <v>104</v>
      </c>
      <c r="B87" s="41" t="s">
        <v>110</v>
      </c>
      <c r="C87" s="43" t="s">
        <v>76</v>
      </c>
      <c r="D87" s="67" t="s">
        <v>345</v>
      </c>
      <c r="E87" s="41" t="s">
        <v>346</v>
      </c>
      <c r="F87" s="43"/>
      <c r="G87" s="43">
        <v>2</v>
      </c>
      <c r="J87" s="42" t="s">
        <v>104</v>
      </c>
      <c r="K87" s="42" t="s">
        <v>125</v>
      </c>
      <c r="L87" s="42" t="s">
        <v>82</v>
      </c>
      <c r="M87" s="42" t="s">
        <v>342</v>
      </c>
      <c r="N87" s="42" t="s">
        <v>343</v>
      </c>
    </row>
    <row r="88" spans="1:14">
      <c r="A88" s="43" t="s">
        <v>104</v>
      </c>
      <c r="B88" s="41" t="s">
        <v>126</v>
      </c>
      <c r="C88" s="43" t="s">
        <v>82</v>
      </c>
      <c r="D88" s="67" t="s">
        <v>347</v>
      </c>
      <c r="E88" s="41" t="s">
        <v>348</v>
      </c>
      <c r="F88" s="43"/>
      <c r="G88" s="43">
        <v>5</v>
      </c>
      <c r="J88" s="42" t="s">
        <v>104</v>
      </c>
      <c r="K88" s="42" t="s">
        <v>105</v>
      </c>
      <c r="L88" s="42" t="s">
        <v>76</v>
      </c>
      <c r="M88" s="42" t="s">
        <v>344</v>
      </c>
      <c r="N88" s="42" t="s">
        <v>254</v>
      </c>
    </row>
    <row r="89" spans="1:14">
      <c r="A89" s="43" t="s">
        <v>104</v>
      </c>
      <c r="B89" s="41" t="s">
        <v>21</v>
      </c>
      <c r="C89" s="43" t="s">
        <v>82</v>
      </c>
      <c r="D89" s="67" t="s">
        <v>349</v>
      </c>
      <c r="E89" s="41" t="s">
        <v>350</v>
      </c>
      <c r="F89" s="43"/>
      <c r="G89" s="43">
        <v>2</v>
      </c>
      <c r="J89" s="42" t="s">
        <v>104</v>
      </c>
      <c r="K89" s="42" t="s">
        <v>110</v>
      </c>
      <c r="L89" s="42" t="s">
        <v>76</v>
      </c>
      <c r="M89" s="42" t="s">
        <v>345</v>
      </c>
      <c r="N89" s="42" t="s">
        <v>346</v>
      </c>
    </row>
    <row r="90" spans="1:14">
      <c r="A90" s="43" t="s">
        <v>104</v>
      </c>
      <c r="B90" s="41" t="s">
        <v>20</v>
      </c>
      <c r="C90" s="43" t="s">
        <v>76</v>
      </c>
      <c r="D90" s="67" t="s">
        <v>351</v>
      </c>
      <c r="E90" s="41" t="s">
        <v>154</v>
      </c>
      <c r="F90" s="43"/>
      <c r="G90" s="43">
        <v>1</v>
      </c>
      <c r="J90" s="42" t="s">
        <v>104</v>
      </c>
      <c r="K90" s="42" t="s">
        <v>126</v>
      </c>
      <c r="L90" s="42" t="s">
        <v>82</v>
      </c>
      <c r="M90" s="42" t="s">
        <v>347</v>
      </c>
      <c r="N90" s="42" t="s">
        <v>348</v>
      </c>
    </row>
    <row r="91" spans="1:14">
      <c r="A91" s="43" t="s">
        <v>175</v>
      </c>
      <c r="B91" s="41" t="s">
        <v>178</v>
      </c>
      <c r="C91" s="43" t="s">
        <v>76</v>
      </c>
      <c r="D91" s="67" t="s">
        <v>159</v>
      </c>
      <c r="E91" s="41" t="s">
        <v>160</v>
      </c>
      <c r="F91" s="64"/>
      <c r="G91" s="43">
        <v>1</v>
      </c>
      <c r="J91" s="42" t="s">
        <v>104</v>
      </c>
      <c r="K91" s="42" t="s">
        <v>21</v>
      </c>
      <c r="L91" s="42" t="s">
        <v>82</v>
      </c>
      <c r="M91" s="42" t="s">
        <v>349</v>
      </c>
      <c r="N91" s="42" t="s">
        <v>350</v>
      </c>
    </row>
    <row r="92" spans="1:14" ht="15" thickBot="1">
      <c r="A92" s="43" t="s">
        <v>175</v>
      </c>
      <c r="B92" s="41" t="s">
        <v>178</v>
      </c>
      <c r="C92" s="43" t="s">
        <v>76</v>
      </c>
      <c r="D92" s="67" t="s">
        <v>161</v>
      </c>
      <c r="E92" s="41" t="s">
        <v>162</v>
      </c>
      <c r="F92" s="64"/>
      <c r="G92" s="43">
        <v>1</v>
      </c>
      <c r="J92" s="42" t="s">
        <v>104</v>
      </c>
      <c r="K92" s="42" t="s">
        <v>20</v>
      </c>
      <c r="L92" s="42" t="s">
        <v>76</v>
      </c>
      <c r="M92" s="42" t="s">
        <v>351</v>
      </c>
      <c r="N92" s="42" t="s">
        <v>154</v>
      </c>
    </row>
    <row r="93" spans="1:14" ht="15" thickBot="1">
      <c r="A93" s="43" t="s">
        <v>175</v>
      </c>
      <c r="B93" s="41" t="s">
        <v>178</v>
      </c>
      <c r="C93" s="43" t="s">
        <v>76</v>
      </c>
      <c r="D93" s="67" t="s">
        <v>152</v>
      </c>
      <c r="E93" s="41" t="s">
        <v>163</v>
      </c>
      <c r="F93" s="66"/>
      <c r="G93" s="43">
        <v>1</v>
      </c>
    </row>
    <row r="94" spans="1:14">
      <c r="A94" s="43" t="s">
        <v>175</v>
      </c>
      <c r="B94" s="41" t="s">
        <v>178</v>
      </c>
      <c r="C94" s="43" t="s">
        <v>76</v>
      </c>
      <c r="D94" s="67" t="s">
        <v>164</v>
      </c>
      <c r="E94" s="41" t="s">
        <v>165</v>
      </c>
      <c r="F94" s="64"/>
      <c r="G94" s="43">
        <v>1</v>
      </c>
    </row>
    <row r="95" spans="1:14">
      <c r="A95" s="43" t="s">
        <v>175</v>
      </c>
      <c r="B95" s="62" t="s">
        <v>112</v>
      </c>
      <c r="C95" s="43" t="s">
        <v>76</v>
      </c>
      <c r="D95" s="68" t="s">
        <v>166</v>
      </c>
      <c r="E95" s="62" t="s">
        <v>167</v>
      </c>
      <c r="F95" s="65"/>
      <c r="G95" s="61">
        <v>1</v>
      </c>
    </row>
    <row r="96" spans="1:14">
      <c r="A96" s="43" t="s">
        <v>175</v>
      </c>
      <c r="B96" s="41" t="s">
        <v>106</v>
      </c>
      <c r="C96" s="43" t="s">
        <v>76</v>
      </c>
      <c r="D96" s="67" t="s">
        <v>168</v>
      </c>
      <c r="E96" s="41" t="s">
        <v>169</v>
      </c>
      <c r="F96" s="64"/>
      <c r="G96" s="43">
        <v>1</v>
      </c>
    </row>
    <row r="97" spans="1:7">
      <c r="A97" s="43" t="s">
        <v>175</v>
      </c>
      <c r="B97" s="41" t="s">
        <v>11</v>
      </c>
      <c r="C97" s="43" t="s">
        <v>76</v>
      </c>
      <c r="D97" s="67" t="s">
        <v>170</v>
      </c>
      <c r="E97" s="41" t="s">
        <v>197</v>
      </c>
      <c r="F97" s="64"/>
      <c r="G97" s="43">
        <v>1</v>
      </c>
    </row>
    <row r="98" spans="1:7">
      <c r="A98" s="43" t="s">
        <v>175</v>
      </c>
      <c r="B98" s="62" t="s">
        <v>24</v>
      </c>
      <c r="C98" s="43" t="s">
        <v>76</v>
      </c>
      <c r="D98" s="68" t="s">
        <v>171</v>
      </c>
      <c r="E98" s="62" t="s">
        <v>172</v>
      </c>
      <c r="F98" s="65"/>
      <c r="G98" s="61">
        <v>2</v>
      </c>
    </row>
    <row r="99" spans="1:7">
      <c r="A99" s="43" t="s">
        <v>175</v>
      </c>
      <c r="B99" s="62" t="s">
        <v>127</v>
      </c>
      <c r="C99" s="43" t="s">
        <v>76</v>
      </c>
      <c r="D99" s="68" t="s">
        <v>173</v>
      </c>
      <c r="E99" s="62" t="s">
        <v>174</v>
      </c>
      <c r="F99" s="65"/>
      <c r="G99" s="61">
        <v>1</v>
      </c>
    </row>
    <row r="100" spans="1:7">
      <c r="A100" s="43" t="s">
        <v>184</v>
      </c>
      <c r="B100" s="41" t="s">
        <v>177</v>
      </c>
      <c r="C100" s="43" t="s">
        <v>76</v>
      </c>
      <c r="D100" s="67" t="s">
        <v>179</v>
      </c>
      <c r="E100" s="41" t="s">
        <v>185</v>
      </c>
      <c r="F100" s="63"/>
      <c r="G100" s="43">
        <v>1</v>
      </c>
    </row>
    <row r="101" spans="1:7">
      <c r="A101" s="43" t="s">
        <v>184</v>
      </c>
      <c r="B101" s="41" t="s">
        <v>177</v>
      </c>
      <c r="C101" s="43" t="s">
        <v>76</v>
      </c>
      <c r="D101" s="67" t="s">
        <v>180</v>
      </c>
      <c r="E101" s="41" t="s">
        <v>186</v>
      </c>
      <c r="F101" s="63"/>
      <c r="G101" s="43">
        <v>1</v>
      </c>
    </row>
    <row r="102" spans="1:7">
      <c r="A102" s="43" t="s">
        <v>184</v>
      </c>
      <c r="B102" s="41" t="s">
        <v>177</v>
      </c>
      <c r="C102" s="43" t="s">
        <v>76</v>
      </c>
      <c r="D102" s="67" t="s">
        <v>181</v>
      </c>
      <c r="E102" s="41" t="s">
        <v>182</v>
      </c>
      <c r="F102" s="63"/>
      <c r="G102" s="43">
        <v>1</v>
      </c>
    </row>
    <row r="103" spans="1:7">
      <c r="A103" s="43" t="s">
        <v>184</v>
      </c>
      <c r="B103" s="41" t="s">
        <v>177</v>
      </c>
      <c r="C103" s="43" t="s">
        <v>76</v>
      </c>
      <c r="D103" s="67" t="s">
        <v>181</v>
      </c>
      <c r="E103" s="41" t="s">
        <v>183</v>
      </c>
      <c r="F103" s="63"/>
      <c r="G103" s="43">
        <v>1</v>
      </c>
    </row>
    <row r="104" spans="1:7">
      <c r="A104" s="43" t="s">
        <v>184</v>
      </c>
      <c r="B104" s="41" t="s">
        <v>177</v>
      </c>
      <c r="C104" s="43" t="s">
        <v>76</v>
      </c>
      <c r="D104" s="67" t="s">
        <v>187</v>
      </c>
      <c r="E104" s="41" t="s">
        <v>188</v>
      </c>
      <c r="F104" s="63"/>
      <c r="G104" s="43">
        <v>1</v>
      </c>
    </row>
    <row r="105" spans="1:7">
      <c r="A105" s="43" t="s">
        <v>184</v>
      </c>
      <c r="B105" s="41" t="s">
        <v>177</v>
      </c>
      <c r="C105" s="43" t="s">
        <v>76</v>
      </c>
      <c r="D105" s="67" t="s">
        <v>189</v>
      </c>
      <c r="E105" s="41" t="s">
        <v>190</v>
      </c>
      <c r="F105" s="63"/>
      <c r="G105" s="43">
        <v>1</v>
      </c>
    </row>
    <row r="106" spans="1:7">
      <c r="A106" s="43" t="s">
        <v>184</v>
      </c>
      <c r="B106" s="41" t="s">
        <v>177</v>
      </c>
      <c r="C106" s="43" t="s">
        <v>76</v>
      </c>
      <c r="D106" s="67" t="s">
        <v>189</v>
      </c>
      <c r="E106" s="41" t="s">
        <v>191</v>
      </c>
      <c r="F106" s="63"/>
      <c r="G106" s="43">
        <v>1</v>
      </c>
    </row>
    <row r="107" spans="1:7">
      <c r="A107" s="43" t="s">
        <v>184</v>
      </c>
      <c r="B107" s="41" t="s">
        <v>178</v>
      </c>
      <c r="C107" s="43" t="s">
        <v>76</v>
      </c>
      <c r="D107" s="67" t="s">
        <v>189</v>
      </c>
      <c r="E107" s="41" t="s">
        <v>192</v>
      </c>
      <c r="F107" s="63"/>
      <c r="G107" s="43">
        <v>3</v>
      </c>
    </row>
    <row r="108" spans="1:7">
      <c r="A108" s="43" t="s">
        <v>184</v>
      </c>
      <c r="B108" s="41" t="s">
        <v>178</v>
      </c>
      <c r="C108" s="43" t="s">
        <v>76</v>
      </c>
      <c r="D108" s="67" t="s">
        <v>189</v>
      </c>
      <c r="E108" s="41" t="s">
        <v>193</v>
      </c>
      <c r="F108" s="63"/>
      <c r="G108" s="43">
        <v>2</v>
      </c>
    </row>
    <row r="109" spans="1:7">
      <c r="A109" s="43" t="s">
        <v>184</v>
      </c>
      <c r="B109" s="41" t="s">
        <v>194</v>
      </c>
      <c r="C109" s="43" t="s">
        <v>76</v>
      </c>
      <c r="D109" s="67" t="s">
        <v>195</v>
      </c>
      <c r="E109" s="41" t="s">
        <v>196</v>
      </c>
      <c r="F109" s="43"/>
      <c r="G109" s="43">
        <v>1</v>
      </c>
    </row>
    <row r="110" spans="1:7">
      <c r="A110" s="61" t="s">
        <v>128</v>
      </c>
      <c r="B110" s="62" t="s">
        <v>24</v>
      </c>
      <c r="C110" s="61" t="s">
        <v>76</v>
      </c>
      <c r="D110" s="68" t="s">
        <v>377</v>
      </c>
      <c r="E110" s="62" t="s">
        <v>378</v>
      </c>
      <c r="F110" s="61"/>
      <c r="G110" s="61">
        <v>2</v>
      </c>
    </row>
    <row r="111" spans="1:7">
      <c r="A111" s="61" t="s">
        <v>128</v>
      </c>
      <c r="B111" s="62" t="s">
        <v>113</v>
      </c>
      <c r="C111" s="61" t="s">
        <v>76</v>
      </c>
      <c r="D111" s="68" t="s">
        <v>379</v>
      </c>
      <c r="E111" s="62" t="s">
        <v>289</v>
      </c>
      <c r="F111" s="61"/>
      <c r="G111" s="61">
        <v>1</v>
      </c>
    </row>
    <row r="112" spans="1:7">
      <c r="A112" s="61" t="s">
        <v>128</v>
      </c>
      <c r="B112" s="62" t="s">
        <v>30</v>
      </c>
      <c r="C112" s="61" t="s">
        <v>82</v>
      </c>
      <c r="D112" s="68" t="s">
        <v>380</v>
      </c>
      <c r="E112" s="62" t="s">
        <v>381</v>
      </c>
      <c r="F112" s="61"/>
      <c r="G112" s="61">
        <v>3</v>
      </c>
    </row>
    <row r="113" spans="1:7">
      <c r="A113" s="61" t="s">
        <v>128</v>
      </c>
      <c r="B113" s="62" t="s">
        <v>178</v>
      </c>
      <c r="C113" s="61" t="s">
        <v>76</v>
      </c>
      <c r="D113" s="68" t="s">
        <v>382</v>
      </c>
      <c r="E113" s="62" t="s">
        <v>383</v>
      </c>
      <c r="F113" s="61"/>
      <c r="G113" s="61">
        <v>3</v>
      </c>
    </row>
    <row r="114" spans="1:7">
      <c r="A114" s="61" t="s">
        <v>128</v>
      </c>
      <c r="B114" s="62" t="s">
        <v>118</v>
      </c>
      <c r="C114" s="61" t="s">
        <v>76</v>
      </c>
      <c r="D114" s="68" t="s">
        <v>384</v>
      </c>
      <c r="E114" s="62" t="s">
        <v>385</v>
      </c>
      <c r="F114" s="61"/>
      <c r="G114" s="61">
        <v>1</v>
      </c>
    </row>
    <row r="115" spans="1:7">
      <c r="A115" s="61" t="s">
        <v>128</v>
      </c>
      <c r="B115" s="62" t="s">
        <v>119</v>
      </c>
      <c r="C115" s="61" t="s">
        <v>76</v>
      </c>
      <c r="D115" s="68" t="s">
        <v>387</v>
      </c>
      <c r="E115" s="62" t="s">
        <v>388</v>
      </c>
      <c r="F115" s="61"/>
      <c r="G115" s="61">
        <v>1</v>
      </c>
    </row>
    <row r="116" spans="1:7">
      <c r="A116" s="61" t="s">
        <v>128</v>
      </c>
      <c r="B116" s="62" t="s">
        <v>120</v>
      </c>
      <c r="C116" s="61" t="s">
        <v>76</v>
      </c>
      <c r="D116" s="68" t="s">
        <v>389</v>
      </c>
      <c r="E116" s="62" t="s">
        <v>390</v>
      </c>
      <c r="F116" s="61"/>
      <c r="G116" s="61">
        <v>1</v>
      </c>
    </row>
    <row r="117" spans="1:7">
      <c r="A117" s="61" t="s">
        <v>128</v>
      </c>
      <c r="B117" s="62" t="s">
        <v>376</v>
      </c>
      <c r="C117" s="61" t="s">
        <v>76</v>
      </c>
      <c r="D117" s="68" t="s">
        <v>391</v>
      </c>
      <c r="E117" s="62" t="s">
        <v>392</v>
      </c>
      <c r="F117" s="61"/>
      <c r="G117" s="61">
        <v>1</v>
      </c>
    </row>
    <row r="118" spans="1:7">
      <c r="A118" s="61" t="s">
        <v>128</v>
      </c>
      <c r="B118" s="62" t="s">
        <v>106</v>
      </c>
      <c r="C118" s="61" t="s">
        <v>76</v>
      </c>
      <c r="D118" s="68" t="s">
        <v>393</v>
      </c>
      <c r="E118" s="61" t="s">
        <v>394</v>
      </c>
      <c r="F118" s="61"/>
      <c r="G118" s="61">
        <v>1</v>
      </c>
    </row>
    <row r="119" spans="1:7">
      <c r="A119" s="61" t="s">
        <v>128</v>
      </c>
      <c r="B119" s="62" t="s">
        <v>20</v>
      </c>
      <c r="C119" s="61" t="s">
        <v>76</v>
      </c>
      <c r="D119" s="68" t="s">
        <v>395</v>
      </c>
      <c r="E119" s="61" t="s">
        <v>396</v>
      </c>
      <c r="F119" s="61"/>
      <c r="G119" s="61">
        <v>1</v>
      </c>
    </row>
    <row r="120" spans="1:7">
      <c r="A120" s="61" t="s">
        <v>128</v>
      </c>
      <c r="B120" s="62" t="s">
        <v>125</v>
      </c>
      <c r="C120" s="61" t="s">
        <v>82</v>
      </c>
      <c r="D120" s="68" t="s">
        <v>397</v>
      </c>
      <c r="E120" s="61" t="s">
        <v>398</v>
      </c>
      <c r="F120" s="61"/>
      <c r="G120" s="61">
        <v>1</v>
      </c>
    </row>
    <row r="121" spans="1:7">
      <c r="A121" s="61" t="s">
        <v>399</v>
      </c>
      <c r="B121" s="62" t="s">
        <v>178</v>
      </c>
      <c r="C121" s="61" t="s">
        <v>76</v>
      </c>
      <c r="D121" s="68" t="s">
        <v>401</v>
      </c>
      <c r="E121" s="62" t="s">
        <v>400</v>
      </c>
      <c r="F121" s="61"/>
      <c r="G121" s="61">
        <v>1</v>
      </c>
    </row>
    <row r="122" spans="1:7">
      <c r="A122" s="61" t="s">
        <v>399</v>
      </c>
      <c r="B122" s="62" t="s">
        <v>178</v>
      </c>
      <c r="C122" s="61" t="s">
        <v>76</v>
      </c>
      <c r="D122" s="68" t="s">
        <v>402</v>
      </c>
      <c r="E122" s="62" t="s">
        <v>400</v>
      </c>
      <c r="F122" s="61"/>
      <c r="G122" s="61">
        <v>1</v>
      </c>
    </row>
    <row r="123" spans="1:7">
      <c r="A123" s="61" t="s">
        <v>399</v>
      </c>
      <c r="B123" s="62" t="s">
        <v>178</v>
      </c>
      <c r="C123" s="61" t="s">
        <v>76</v>
      </c>
      <c r="D123" s="68" t="s">
        <v>403</v>
      </c>
      <c r="E123" s="62" t="s">
        <v>404</v>
      </c>
      <c r="F123" s="61"/>
      <c r="G123" s="61">
        <v>2</v>
      </c>
    </row>
    <row r="124" spans="1:7">
      <c r="A124" s="61" t="s">
        <v>399</v>
      </c>
      <c r="B124" s="62" t="s">
        <v>178</v>
      </c>
      <c r="C124" s="61" t="s">
        <v>76</v>
      </c>
      <c r="D124" s="68" t="s">
        <v>405</v>
      </c>
      <c r="E124" s="62" t="s">
        <v>406</v>
      </c>
      <c r="F124" s="61"/>
      <c r="G124" s="61">
        <v>3</v>
      </c>
    </row>
    <row r="125" spans="1:7">
      <c r="A125" s="61" t="s">
        <v>399</v>
      </c>
      <c r="B125" s="62" t="s">
        <v>178</v>
      </c>
      <c r="C125" s="61" t="s">
        <v>76</v>
      </c>
      <c r="D125" s="68" t="s">
        <v>407</v>
      </c>
      <c r="E125" s="62" t="s">
        <v>408</v>
      </c>
      <c r="F125" s="61"/>
      <c r="G125" s="61">
        <v>1</v>
      </c>
    </row>
    <row r="126" spans="1:7">
      <c r="A126" s="61" t="s">
        <v>399</v>
      </c>
      <c r="B126" s="62" t="s">
        <v>178</v>
      </c>
      <c r="C126" s="61" t="s">
        <v>76</v>
      </c>
      <c r="D126" s="68" t="s">
        <v>409</v>
      </c>
      <c r="E126" s="62" t="s">
        <v>141</v>
      </c>
      <c r="F126" s="61"/>
      <c r="G126" s="61">
        <v>2</v>
      </c>
    </row>
    <row r="127" spans="1:7">
      <c r="A127" s="61" t="s">
        <v>399</v>
      </c>
      <c r="B127" s="62" t="s">
        <v>178</v>
      </c>
      <c r="C127" s="61" t="s">
        <v>76</v>
      </c>
      <c r="D127" s="68" t="s">
        <v>152</v>
      </c>
      <c r="E127" s="62" t="s">
        <v>410</v>
      </c>
      <c r="F127" s="61"/>
      <c r="G127" s="61">
        <v>2</v>
      </c>
    </row>
    <row r="128" spans="1:7">
      <c r="A128" s="61" t="s">
        <v>399</v>
      </c>
      <c r="B128" s="62" t="s">
        <v>178</v>
      </c>
      <c r="C128" s="61" t="s">
        <v>76</v>
      </c>
      <c r="D128" s="68" t="s">
        <v>411</v>
      </c>
      <c r="E128" s="62" t="s">
        <v>412</v>
      </c>
      <c r="F128" s="61"/>
      <c r="G128" s="61">
        <v>2</v>
      </c>
    </row>
    <row r="129" spans="1:7">
      <c r="A129" s="61" t="s">
        <v>399</v>
      </c>
      <c r="B129" s="62" t="s">
        <v>178</v>
      </c>
      <c r="C129" s="61" t="s">
        <v>76</v>
      </c>
      <c r="D129" s="68" t="s">
        <v>413</v>
      </c>
      <c r="E129" s="62" t="s">
        <v>414</v>
      </c>
      <c r="F129" s="61"/>
      <c r="G129" s="61">
        <v>2</v>
      </c>
    </row>
    <row r="130" spans="1:7">
      <c r="A130" s="61" t="s">
        <v>399</v>
      </c>
      <c r="B130" s="62" t="s">
        <v>178</v>
      </c>
      <c r="C130" s="61" t="s">
        <v>76</v>
      </c>
      <c r="D130" s="68" t="s">
        <v>415</v>
      </c>
      <c r="E130" s="62" t="s">
        <v>140</v>
      </c>
      <c r="F130" s="61"/>
      <c r="G130" s="61">
        <v>2</v>
      </c>
    </row>
    <row r="131" spans="1:7">
      <c r="A131" s="61" t="s">
        <v>399</v>
      </c>
      <c r="B131" s="62" t="s">
        <v>178</v>
      </c>
      <c r="C131" s="61" t="s">
        <v>76</v>
      </c>
      <c r="D131" s="68" t="s">
        <v>416</v>
      </c>
      <c r="E131" s="62" t="s">
        <v>417</v>
      </c>
      <c r="F131" s="61"/>
      <c r="G131" s="61">
        <v>2</v>
      </c>
    </row>
    <row r="132" spans="1:7">
      <c r="A132" s="61" t="s">
        <v>399</v>
      </c>
      <c r="B132" s="62" t="s">
        <v>178</v>
      </c>
      <c r="C132" s="61" t="s">
        <v>76</v>
      </c>
      <c r="D132" s="68" t="s">
        <v>418</v>
      </c>
      <c r="E132" s="62" t="s">
        <v>419</v>
      </c>
      <c r="F132" s="61"/>
      <c r="G132" s="61">
        <v>2</v>
      </c>
    </row>
    <row r="133" spans="1:7">
      <c r="A133" s="61" t="s">
        <v>399</v>
      </c>
      <c r="B133" s="62" t="s">
        <v>178</v>
      </c>
      <c r="C133" s="61" t="s">
        <v>76</v>
      </c>
      <c r="D133" s="68" t="s">
        <v>420</v>
      </c>
      <c r="E133" s="62" t="s">
        <v>157</v>
      </c>
      <c r="F133" s="61"/>
      <c r="G133" s="61">
        <v>2</v>
      </c>
    </row>
    <row r="134" spans="1:7">
      <c r="A134" s="61" t="s">
        <v>399</v>
      </c>
      <c r="B134" s="62" t="s">
        <v>178</v>
      </c>
      <c r="C134" s="61" t="s">
        <v>76</v>
      </c>
      <c r="D134" s="68" t="s">
        <v>421</v>
      </c>
      <c r="E134" s="62" t="s">
        <v>422</v>
      </c>
      <c r="F134" s="61"/>
      <c r="G134" s="61">
        <v>2</v>
      </c>
    </row>
    <row r="135" spans="1:7">
      <c r="A135" s="61" t="s">
        <v>399</v>
      </c>
      <c r="B135" s="62" t="s">
        <v>24</v>
      </c>
      <c r="C135" s="61" t="s">
        <v>76</v>
      </c>
      <c r="D135" s="68" t="s">
        <v>423</v>
      </c>
      <c r="E135" s="62" t="s">
        <v>424</v>
      </c>
      <c r="F135" s="61"/>
      <c r="G135" s="61">
        <v>5</v>
      </c>
    </row>
    <row r="136" spans="1:7">
      <c r="A136" s="61" t="s">
        <v>399</v>
      </c>
      <c r="B136" s="62" t="s">
        <v>113</v>
      </c>
      <c r="C136" s="61" t="s">
        <v>76</v>
      </c>
      <c r="D136" s="68" t="s">
        <v>425</v>
      </c>
      <c r="E136" s="62" t="s">
        <v>289</v>
      </c>
      <c r="F136" s="61"/>
      <c r="G136" s="61">
        <v>1</v>
      </c>
    </row>
    <row r="137" spans="1:7">
      <c r="A137" s="61" t="s">
        <v>399</v>
      </c>
      <c r="B137" s="62" t="s">
        <v>12</v>
      </c>
      <c r="C137" s="61" t="s">
        <v>76</v>
      </c>
      <c r="D137" s="68" t="s">
        <v>426</v>
      </c>
      <c r="E137" s="62" t="s">
        <v>427</v>
      </c>
      <c r="F137" s="61"/>
      <c r="G137" s="61">
        <v>2</v>
      </c>
    </row>
    <row r="138" spans="1:7">
      <c r="A138" s="61" t="s">
        <v>399</v>
      </c>
      <c r="B138" s="62" t="s">
        <v>112</v>
      </c>
      <c r="C138" s="61" t="s">
        <v>76</v>
      </c>
      <c r="D138" s="68" t="s">
        <v>428</v>
      </c>
      <c r="E138" s="62" t="s">
        <v>429</v>
      </c>
      <c r="F138" s="61"/>
      <c r="G138" s="61">
        <v>1</v>
      </c>
    </row>
    <row r="139" spans="1:7">
      <c r="A139" s="61" t="s">
        <v>399</v>
      </c>
      <c r="B139" s="62" t="s">
        <v>109</v>
      </c>
      <c r="C139" s="61" t="s">
        <v>76</v>
      </c>
      <c r="D139" s="68" t="s">
        <v>430</v>
      </c>
      <c r="E139" s="62" t="s">
        <v>431</v>
      </c>
      <c r="F139" s="61"/>
      <c r="G139" s="61">
        <v>1</v>
      </c>
    </row>
    <row r="140" spans="1:7">
      <c r="A140" s="61" t="s">
        <v>399</v>
      </c>
      <c r="B140" s="62" t="s">
        <v>127</v>
      </c>
      <c r="C140" s="61" t="s">
        <v>76</v>
      </c>
      <c r="D140" s="68" t="s">
        <v>432</v>
      </c>
      <c r="E140" s="62" t="s">
        <v>433</v>
      </c>
      <c r="F140" s="61"/>
      <c r="G140" s="61">
        <v>1</v>
      </c>
    </row>
    <row r="141" spans="1:7">
      <c r="A141" s="61" t="s">
        <v>399</v>
      </c>
      <c r="B141" s="62" t="s">
        <v>110</v>
      </c>
      <c r="C141" s="61" t="s">
        <v>76</v>
      </c>
      <c r="D141" s="68" t="s">
        <v>434</v>
      </c>
      <c r="E141" s="62" t="s">
        <v>435</v>
      </c>
      <c r="F141" s="61"/>
      <c r="G141" s="61">
        <v>1</v>
      </c>
    </row>
    <row r="142" spans="1:7">
      <c r="A142" s="61" t="s">
        <v>399</v>
      </c>
      <c r="B142" s="62" t="s">
        <v>22</v>
      </c>
      <c r="C142" s="61" t="s">
        <v>76</v>
      </c>
      <c r="D142" s="68" t="s">
        <v>436</v>
      </c>
      <c r="E142" s="62" t="s">
        <v>437</v>
      </c>
      <c r="F142" s="61"/>
      <c r="G142" s="61">
        <v>1</v>
      </c>
    </row>
    <row r="143" spans="1:7">
      <c r="A143" s="61" t="s">
        <v>399</v>
      </c>
      <c r="B143" s="62" t="s">
        <v>14</v>
      </c>
      <c r="C143" s="61" t="s">
        <v>76</v>
      </c>
      <c r="D143" s="68" t="s">
        <v>438</v>
      </c>
      <c r="E143" s="62" t="s">
        <v>439</v>
      </c>
      <c r="F143" s="61"/>
      <c r="G143" s="61">
        <v>1</v>
      </c>
    </row>
    <row r="144" spans="1:7">
      <c r="A144" s="61" t="s">
        <v>399</v>
      </c>
      <c r="B144" s="62" t="s">
        <v>11</v>
      </c>
      <c r="C144" s="61" t="s">
        <v>76</v>
      </c>
      <c r="D144" s="68" t="s">
        <v>144</v>
      </c>
      <c r="E144" s="62" t="s">
        <v>440</v>
      </c>
      <c r="F144" s="61"/>
      <c r="G144" s="61">
        <v>1</v>
      </c>
    </row>
    <row r="145" spans="1:7">
      <c r="A145" s="61" t="s">
        <v>399</v>
      </c>
      <c r="B145" s="62" t="s">
        <v>106</v>
      </c>
      <c r="C145" s="61" t="s">
        <v>76</v>
      </c>
      <c r="D145" s="68" t="s">
        <v>441</v>
      </c>
      <c r="E145" s="62" t="s">
        <v>442</v>
      </c>
      <c r="F145" s="61"/>
      <c r="G145" s="61">
        <v>2</v>
      </c>
    </row>
    <row r="146" spans="1:7">
      <c r="A146" s="61" t="s">
        <v>399</v>
      </c>
      <c r="B146" s="62" t="s">
        <v>105</v>
      </c>
      <c r="C146" s="61" t="s">
        <v>76</v>
      </c>
      <c r="D146" s="68" t="s">
        <v>443</v>
      </c>
      <c r="E146" s="62" t="s">
        <v>444</v>
      </c>
      <c r="F146" s="61"/>
      <c r="G146" s="61">
        <v>28</v>
      </c>
    </row>
  </sheetData>
  <conditionalFormatting sqref="B2:B146">
    <cfRule type="duplicateValues" dxfId="2" priority="1"/>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71"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22" t="s">
        <v>44</v>
      </c>
      <c r="B1" s="54" t="s">
        <v>46</v>
      </c>
    </row>
    <row r="2" spans="1:25" ht="15.75" customHeight="1">
      <c r="A2" s="122"/>
      <c r="B2" s="124" t="s">
        <v>60</v>
      </c>
    </row>
    <row r="3" spans="1:25" ht="15.75" customHeight="1">
      <c r="A3" s="123"/>
      <c r="B3" s="124"/>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72"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72">
        <v>2</v>
      </c>
      <c r="C5" s="47">
        <v>0</v>
      </c>
      <c r="D5" s="47">
        <v>0</v>
      </c>
      <c r="E5" s="47">
        <v>2</v>
      </c>
      <c r="F5" s="47">
        <v>0</v>
      </c>
      <c r="G5" s="47">
        <v>0</v>
      </c>
      <c r="H5" s="47">
        <v>0</v>
      </c>
      <c r="I5" s="47">
        <v>0</v>
      </c>
    </row>
    <row r="6" spans="1:25" ht="15.75" customHeight="1">
      <c r="A6" s="46" t="str">
        <v>Advogado</v>
      </c>
      <c r="B6" s="72">
        <v>4</v>
      </c>
      <c r="C6" s="47">
        <v>2</v>
      </c>
      <c r="D6" s="47">
        <v>0</v>
      </c>
      <c r="E6" s="47">
        <v>1</v>
      </c>
      <c r="F6" s="47">
        <v>0</v>
      </c>
      <c r="G6" s="47">
        <v>0</v>
      </c>
      <c r="H6" s="47">
        <v>0</v>
      </c>
      <c r="I6" s="47">
        <v>1</v>
      </c>
    </row>
    <row r="7" spans="1:25" ht="15.75" customHeight="1">
      <c r="A7" s="46" t="str">
        <v>Agente Administrativo</v>
      </c>
      <c r="B7" s="72">
        <v>40</v>
      </c>
      <c r="C7" s="47">
        <v>31</v>
      </c>
      <c r="D7" s="47">
        <v>6</v>
      </c>
      <c r="E7" s="47">
        <v>0</v>
      </c>
      <c r="F7" s="47">
        <v>0</v>
      </c>
      <c r="G7" s="47">
        <v>0</v>
      </c>
      <c r="H7" s="47">
        <v>3</v>
      </c>
      <c r="I7" s="47">
        <v>0</v>
      </c>
      <c r="T7" s="48" t="s">
        <v>131</v>
      </c>
      <c r="W7" s="50" t="s">
        <v>133</v>
      </c>
    </row>
    <row r="8" spans="1:25" ht="15.75" customHeight="1">
      <c r="A8" s="46" t="str">
        <v>Analista de Tecnologia da Informação</v>
      </c>
      <c r="B8" s="72">
        <v>4</v>
      </c>
      <c r="C8" s="47">
        <v>0</v>
      </c>
      <c r="D8" s="47">
        <v>0</v>
      </c>
      <c r="E8" s="47">
        <v>2</v>
      </c>
      <c r="F8" s="47">
        <v>1</v>
      </c>
      <c r="G8" s="47">
        <v>0</v>
      </c>
      <c r="H8" s="47">
        <v>0</v>
      </c>
      <c r="I8" s="47">
        <v>1</v>
      </c>
      <c r="V8" s="51"/>
      <c r="W8" s="51" t="s">
        <v>132</v>
      </c>
    </row>
    <row r="9" spans="1:25" ht="15.75" customHeight="1">
      <c r="A9" s="46" t="str">
        <v>Analista Técnico Administrativo</v>
      </c>
      <c r="B9" s="72">
        <v>2</v>
      </c>
      <c r="C9" s="47">
        <v>0</v>
      </c>
      <c r="D9" s="47">
        <v>2</v>
      </c>
      <c r="E9" s="47">
        <v>0</v>
      </c>
      <c r="F9" s="47">
        <v>0</v>
      </c>
      <c r="G9" s="47">
        <v>0</v>
      </c>
      <c r="H9" s="47">
        <v>0</v>
      </c>
      <c r="I9" s="47">
        <v>0</v>
      </c>
      <c r="W9" s="51" t="s">
        <v>134</v>
      </c>
    </row>
    <row r="10" spans="1:25" ht="15.75" customHeight="1">
      <c r="A10" s="46" t="str">
        <v>Arquiteto</v>
      </c>
      <c r="B10" s="72">
        <v>1</v>
      </c>
      <c r="C10" s="47">
        <v>0</v>
      </c>
      <c r="D10" s="47">
        <v>0</v>
      </c>
      <c r="E10" s="47">
        <v>1</v>
      </c>
      <c r="F10" s="47">
        <v>0</v>
      </c>
      <c r="G10" s="47">
        <v>0</v>
      </c>
      <c r="H10" s="47">
        <v>0</v>
      </c>
      <c r="I10" s="47">
        <v>0</v>
      </c>
      <c r="W10" s="51" t="s">
        <v>361</v>
      </c>
    </row>
    <row r="11" spans="1:25" ht="15.75" customHeight="1">
      <c r="A11" s="46" t="str">
        <v>Arquivista</v>
      </c>
      <c r="B11" s="72">
        <v>3</v>
      </c>
      <c r="C11" s="47">
        <v>0</v>
      </c>
      <c r="D11" s="47">
        <v>0</v>
      </c>
      <c r="E11" s="47">
        <v>1</v>
      </c>
      <c r="F11" s="47">
        <v>0</v>
      </c>
      <c r="G11" s="47">
        <v>0</v>
      </c>
      <c r="H11" s="47">
        <v>1</v>
      </c>
      <c r="I11" s="47">
        <v>1</v>
      </c>
      <c r="P11" s="52" t="s">
        <v>130</v>
      </c>
      <c r="T11" s="49" t="s">
        <v>135</v>
      </c>
    </row>
    <row r="12" spans="1:25" ht="15.75" customHeight="1">
      <c r="A12" s="46" t="str">
        <v>Assistente Social</v>
      </c>
      <c r="B12" s="72">
        <v>5</v>
      </c>
      <c r="C12" s="47">
        <v>0</v>
      </c>
      <c r="D12" s="47">
        <v>0</v>
      </c>
      <c r="E12" s="47">
        <v>3</v>
      </c>
      <c r="F12" s="47">
        <v>1</v>
      </c>
      <c r="G12" s="47">
        <v>0</v>
      </c>
      <c r="H12" s="47">
        <v>0</v>
      </c>
      <c r="I12" s="47">
        <v>1</v>
      </c>
    </row>
    <row r="13" spans="1:25" ht="15.75" customHeight="1">
      <c r="A13" s="46" t="str">
        <v>Auxiliar Assuntos Educacionais</v>
      </c>
      <c r="B13" s="72">
        <v>6</v>
      </c>
      <c r="C13" s="47">
        <v>0</v>
      </c>
      <c r="D13" s="47">
        <v>6</v>
      </c>
      <c r="E13" s="47">
        <v>0</v>
      </c>
      <c r="F13" s="47">
        <v>0</v>
      </c>
      <c r="G13" s="47">
        <v>0</v>
      </c>
      <c r="H13" s="47">
        <v>0</v>
      </c>
      <c r="I13" s="47">
        <v>0</v>
      </c>
    </row>
    <row r="14" spans="1:25" ht="15.75" customHeight="1">
      <c r="A14" s="46" t="str">
        <v>Bibliotecário</v>
      </c>
      <c r="B14" s="72">
        <v>4</v>
      </c>
      <c r="C14" s="47">
        <v>1</v>
      </c>
      <c r="D14" s="47">
        <v>0</v>
      </c>
      <c r="E14" s="47">
        <v>1</v>
      </c>
      <c r="F14" s="47">
        <v>1</v>
      </c>
      <c r="G14" s="47">
        <v>0</v>
      </c>
      <c r="H14" s="47">
        <v>0</v>
      </c>
      <c r="I14" s="47">
        <v>1</v>
      </c>
      <c r="R14" s="53" t="s">
        <v>102</v>
      </c>
      <c r="S14" s="53" t="s">
        <v>104</v>
      </c>
      <c r="T14" s="53" t="s">
        <v>129</v>
      </c>
      <c r="U14" s="53" t="s">
        <v>128</v>
      </c>
      <c r="V14" s="53" t="s">
        <v>184</v>
      </c>
      <c r="W14" s="53" t="s">
        <v>128</v>
      </c>
      <c r="X14" s="53" t="s">
        <v>399</v>
      </c>
      <c r="Y14" s="53" t="s">
        <v>78</v>
      </c>
    </row>
    <row r="15" spans="1:25" ht="15.75" customHeight="1">
      <c r="A15" s="46" t="str">
        <v>Contador</v>
      </c>
      <c r="B15" s="72">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72">
        <v>5</v>
      </c>
      <c r="C16" s="47">
        <v>0</v>
      </c>
      <c r="D16" s="47">
        <v>0</v>
      </c>
      <c r="E16" s="47">
        <v>4</v>
      </c>
      <c r="F16" s="47">
        <v>0</v>
      </c>
      <c r="G16" s="47">
        <v>0</v>
      </c>
      <c r="H16" s="47">
        <v>1</v>
      </c>
      <c r="I16" s="47">
        <v>0</v>
      </c>
      <c r="M16" s="51"/>
    </row>
    <row r="17" spans="1:9" ht="15.75" customHeight="1">
      <c r="A17" s="46" t="str">
        <v>Engenheiro Civil</v>
      </c>
      <c r="B17" s="72">
        <v>1</v>
      </c>
      <c r="C17" s="47">
        <v>0</v>
      </c>
      <c r="D17" s="47">
        <v>0</v>
      </c>
      <c r="E17" s="47">
        <v>1</v>
      </c>
      <c r="F17" s="47">
        <v>0</v>
      </c>
      <c r="G17" s="47">
        <v>0</v>
      </c>
      <c r="H17" s="47">
        <v>0</v>
      </c>
      <c r="I17" s="47">
        <v>0</v>
      </c>
    </row>
    <row r="18" spans="1:9" ht="15.75" customHeight="1">
      <c r="A18" s="46" t="str">
        <v>Engenheiro de Segurança do Trabalho</v>
      </c>
      <c r="B18" s="72">
        <v>1</v>
      </c>
      <c r="C18" s="47">
        <v>0</v>
      </c>
      <c r="D18" s="47">
        <v>0</v>
      </c>
      <c r="E18" s="47">
        <v>1</v>
      </c>
      <c r="F18" s="47">
        <v>0</v>
      </c>
      <c r="G18" s="47">
        <v>0</v>
      </c>
      <c r="H18" s="47">
        <v>0</v>
      </c>
      <c r="I18" s="47">
        <v>0</v>
      </c>
    </row>
    <row r="19" spans="1:9" ht="15.75" customHeight="1">
      <c r="A19" s="46" t="str">
        <v>Engenheiro Eletricista</v>
      </c>
      <c r="B19" s="72">
        <v>1</v>
      </c>
      <c r="C19" s="47">
        <v>0</v>
      </c>
      <c r="D19" s="47">
        <v>0</v>
      </c>
      <c r="E19" s="47">
        <v>1</v>
      </c>
      <c r="F19" s="47">
        <v>0</v>
      </c>
      <c r="G19" s="47">
        <v>0</v>
      </c>
      <c r="H19" s="47">
        <v>0</v>
      </c>
      <c r="I19" s="47">
        <v>0</v>
      </c>
    </row>
    <row r="20" spans="1:9" ht="15.75" customHeight="1">
      <c r="A20" s="46" t="str">
        <v>Estatístico</v>
      </c>
      <c r="B20" s="72">
        <v>3</v>
      </c>
      <c r="C20" s="47">
        <v>0</v>
      </c>
      <c r="D20" s="47">
        <v>0</v>
      </c>
      <c r="E20" s="47">
        <v>2</v>
      </c>
      <c r="F20" s="47">
        <v>0</v>
      </c>
      <c r="G20" s="47">
        <v>0</v>
      </c>
      <c r="H20" s="47">
        <v>0</v>
      </c>
      <c r="I20" s="47">
        <v>1</v>
      </c>
    </row>
    <row r="21" spans="1:9" ht="15.75" customHeight="1">
      <c r="A21" s="46" t="str">
        <v>Farmacêutico Bioquímico</v>
      </c>
      <c r="B21" s="72">
        <v>2</v>
      </c>
      <c r="C21" s="47">
        <v>0</v>
      </c>
      <c r="D21" s="47">
        <v>0</v>
      </c>
      <c r="E21" s="47">
        <v>2</v>
      </c>
      <c r="F21" s="47">
        <v>0</v>
      </c>
      <c r="G21" s="47">
        <v>0</v>
      </c>
      <c r="H21" s="47">
        <v>0</v>
      </c>
      <c r="I21" s="47">
        <v>0</v>
      </c>
    </row>
    <row r="22" spans="1:9" ht="15.75" customHeight="1">
      <c r="A22" s="46" t="str">
        <v>Fisioterapeuta</v>
      </c>
      <c r="B22" s="72">
        <v>3</v>
      </c>
      <c r="C22" s="47">
        <v>0</v>
      </c>
      <c r="D22" s="47">
        <v>0</v>
      </c>
      <c r="E22" s="47">
        <v>2</v>
      </c>
      <c r="F22" s="47">
        <v>0</v>
      </c>
      <c r="G22" s="47">
        <v>0</v>
      </c>
      <c r="H22" s="47">
        <v>1</v>
      </c>
      <c r="I22" s="47">
        <v>0</v>
      </c>
    </row>
    <row r="23" spans="1:9" ht="15.75" customHeight="1">
      <c r="A23" s="46" t="str">
        <v>Fonoaudiólogo</v>
      </c>
      <c r="B23" s="72">
        <v>2</v>
      </c>
      <c r="C23" s="47">
        <v>0</v>
      </c>
      <c r="D23" s="47">
        <v>0</v>
      </c>
      <c r="E23" s="47">
        <v>1</v>
      </c>
      <c r="F23" s="47">
        <v>0</v>
      </c>
      <c r="G23" s="47">
        <v>0</v>
      </c>
      <c r="H23" s="47">
        <v>1</v>
      </c>
      <c r="I23" s="47">
        <v>0</v>
      </c>
    </row>
    <row r="24" spans="1:9" ht="15.75" customHeight="1">
      <c r="A24" s="46" t="str">
        <v>Médico (20h)</v>
      </c>
      <c r="B24" s="72">
        <v>9</v>
      </c>
      <c r="C24" s="47">
        <v>6</v>
      </c>
      <c r="D24" s="47">
        <v>0</v>
      </c>
      <c r="E24" s="47">
        <v>2</v>
      </c>
      <c r="F24" s="47">
        <v>0</v>
      </c>
      <c r="G24" s="47">
        <v>0</v>
      </c>
      <c r="H24" s="47">
        <v>1</v>
      </c>
      <c r="I24" s="47">
        <v>0</v>
      </c>
    </row>
    <row r="25" spans="1:9" ht="15.75" customHeight="1">
      <c r="A25" s="46" t="str">
        <v>Médico do Trabalho</v>
      </c>
      <c r="B25" s="72">
        <v>1</v>
      </c>
      <c r="C25" s="47">
        <v>0</v>
      </c>
      <c r="D25" s="47">
        <v>0</v>
      </c>
      <c r="E25" s="47">
        <v>1</v>
      </c>
      <c r="F25" s="47">
        <v>0</v>
      </c>
      <c r="G25" s="47">
        <v>0</v>
      </c>
      <c r="H25" s="47">
        <v>0</v>
      </c>
      <c r="I25" s="47">
        <v>0</v>
      </c>
    </row>
    <row r="26" spans="1:9" ht="15.75" customHeight="1">
      <c r="A26" s="46" t="str">
        <v>Nutricionista</v>
      </c>
      <c r="B26" s="72">
        <v>4</v>
      </c>
      <c r="C26" s="47">
        <v>0</v>
      </c>
      <c r="D26" s="47">
        <v>0</v>
      </c>
      <c r="E26" s="47">
        <v>2</v>
      </c>
      <c r="F26" s="47">
        <v>0</v>
      </c>
      <c r="G26" s="47">
        <v>0</v>
      </c>
      <c r="H26" s="47">
        <v>0</v>
      </c>
      <c r="I26" s="47">
        <v>2</v>
      </c>
    </row>
    <row r="27" spans="1:9" ht="15.75" customHeight="1">
      <c r="A27" s="46" t="str">
        <v>Pedagogo</v>
      </c>
      <c r="B27" s="72">
        <v>4</v>
      </c>
      <c r="C27" s="47">
        <v>1</v>
      </c>
      <c r="D27" s="47">
        <v>0</v>
      </c>
      <c r="E27" s="47">
        <v>3</v>
      </c>
      <c r="F27" s="47">
        <v>0</v>
      </c>
      <c r="G27" s="47">
        <v>0</v>
      </c>
      <c r="H27" s="47">
        <v>0</v>
      </c>
      <c r="I27" s="47">
        <v>0</v>
      </c>
    </row>
    <row r="28" spans="1:9" ht="15.75" customHeight="1">
      <c r="A28" s="46" t="str">
        <v>Professor da Carreira de Magistério do EBTT</v>
      </c>
      <c r="B28" s="72">
        <v>88</v>
      </c>
      <c r="C28" s="47">
        <v>0</v>
      </c>
      <c r="D28" s="47">
        <v>18</v>
      </c>
      <c r="E28" s="47">
        <v>32</v>
      </c>
      <c r="F28" s="47">
        <v>4</v>
      </c>
      <c r="G28" s="47">
        <v>5</v>
      </c>
      <c r="H28" s="47">
        <v>3</v>
      </c>
      <c r="I28" s="47">
        <v>26</v>
      </c>
    </row>
    <row r="29" spans="1:9" ht="15.75" customHeight="1">
      <c r="A29" s="46" t="str">
        <v>Professor da Carreira do Magistério Superior</v>
      </c>
      <c r="B29" s="72">
        <v>43</v>
      </c>
      <c r="C29" s="47">
        <v>36</v>
      </c>
      <c r="D29" s="47">
        <v>0</v>
      </c>
      <c r="E29" s="47">
        <v>0</v>
      </c>
      <c r="F29" s="47">
        <v>0</v>
      </c>
      <c r="G29" s="47">
        <v>7</v>
      </c>
      <c r="H29" s="47">
        <v>0</v>
      </c>
      <c r="I29" s="47">
        <v>0</v>
      </c>
    </row>
    <row r="30" spans="1:9" ht="15.75" customHeight="1">
      <c r="A30" s="46" t="str">
        <v>Psicólogo</v>
      </c>
      <c r="B30" s="72">
        <v>7</v>
      </c>
      <c r="C30" s="47">
        <v>0</v>
      </c>
      <c r="D30" s="47">
        <v>0</v>
      </c>
      <c r="E30" s="47">
        <v>3</v>
      </c>
      <c r="F30" s="47">
        <v>1</v>
      </c>
      <c r="G30" s="47">
        <v>0</v>
      </c>
      <c r="H30" s="47">
        <v>1</v>
      </c>
      <c r="I30" s="47">
        <v>2</v>
      </c>
    </row>
    <row r="31" spans="1:9" ht="15.75" customHeight="1">
      <c r="A31" s="46" t="str">
        <v>Técnico de Informática</v>
      </c>
      <c r="B31" s="72">
        <v>5</v>
      </c>
      <c r="C31" s="47">
        <v>5</v>
      </c>
      <c r="D31" s="47">
        <v>0</v>
      </c>
      <c r="E31" s="47">
        <v>0</v>
      </c>
      <c r="F31" s="47">
        <v>0</v>
      </c>
      <c r="G31" s="47">
        <v>0</v>
      </c>
      <c r="H31" s="47">
        <v>0</v>
      </c>
      <c r="I31" s="47">
        <v>0</v>
      </c>
    </row>
    <row r="32" spans="1:9" ht="15.75" customHeight="1">
      <c r="A32" s="46" t="str">
        <v>Técnico de Laboratório</v>
      </c>
      <c r="B32" s="72">
        <v>3</v>
      </c>
      <c r="C32" s="47">
        <v>0</v>
      </c>
      <c r="D32" s="47">
        <v>0</v>
      </c>
      <c r="E32" s="47">
        <v>2</v>
      </c>
      <c r="F32" s="47">
        <v>0</v>
      </c>
      <c r="G32" s="47">
        <v>0</v>
      </c>
      <c r="H32" s="47">
        <v>1</v>
      </c>
      <c r="I32" s="47">
        <v>0</v>
      </c>
    </row>
    <row r="33" spans="1:9" ht="15.75" customHeight="1">
      <c r="A33" s="46" t="str">
        <v>Técnico em Assuntos Educacionais</v>
      </c>
      <c r="B33" s="72">
        <v>37</v>
      </c>
      <c r="C33" s="47">
        <v>1</v>
      </c>
      <c r="D33" s="47">
        <v>6</v>
      </c>
      <c r="E33" s="47">
        <v>2</v>
      </c>
      <c r="F33" s="47">
        <v>0</v>
      </c>
      <c r="G33" s="47">
        <v>0</v>
      </c>
      <c r="H33" s="47">
        <v>0</v>
      </c>
      <c r="I33" s="47">
        <v>28</v>
      </c>
    </row>
    <row r="34" spans="1:9" ht="15.75" customHeight="1">
      <c r="A34" s="46" t="str">
        <v>Técnico em Comunicação Social</v>
      </c>
      <c r="B34" s="72">
        <v>3</v>
      </c>
      <c r="C34" s="47">
        <v>0</v>
      </c>
      <c r="D34" s="47">
        <v>0</v>
      </c>
      <c r="E34" s="47">
        <v>2</v>
      </c>
      <c r="F34" s="47">
        <v>0</v>
      </c>
      <c r="G34" s="47">
        <v>0</v>
      </c>
      <c r="H34" s="47">
        <v>0</v>
      </c>
      <c r="I34" s="47">
        <v>1</v>
      </c>
    </row>
    <row r="35" spans="1:9" ht="15.75" customHeight="1">
      <c r="A35" s="46" t="str">
        <v>Técnico em Enfermagem</v>
      </c>
      <c r="B35" s="72">
        <v>5</v>
      </c>
      <c r="C35" s="47">
        <v>0</v>
      </c>
      <c r="D35" s="47">
        <v>0</v>
      </c>
      <c r="E35" s="47">
        <v>5</v>
      </c>
      <c r="F35" s="47">
        <v>0</v>
      </c>
      <c r="G35" s="47">
        <v>0</v>
      </c>
      <c r="H35" s="47">
        <v>0</v>
      </c>
      <c r="I35" s="47">
        <v>0</v>
      </c>
    </row>
    <row r="36" spans="1:9" ht="15.75" customHeight="1">
      <c r="A36" s="46" t="str">
        <v>Técnico em Radiologia</v>
      </c>
      <c r="B36" s="72">
        <v>3</v>
      </c>
      <c r="C36" s="47">
        <v>1</v>
      </c>
      <c r="D36" s="47">
        <v>0</v>
      </c>
      <c r="E36" s="47">
        <v>2</v>
      </c>
      <c r="F36" s="47">
        <v>0</v>
      </c>
      <c r="G36" s="47">
        <v>0</v>
      </c>
      <c r="H36" s="47">
        <v>0</v>
      </c>
      <c r="I36" s="47">
        <v>0</v>
      </c>
    </row>
    <row r="37" spans="1:9" ht="15.75" customHeight="1">
      <c r="A37" s="46" t="str">
        <v>Técnico-Administrativo em Educação</v>
      </c>
      <c r="B37" s="72">
        <v>1</v>
      </c>
      <c r="C37" s="47">
        <v>0</v>
      </c>
      <c r="D37" s="47">
        <v>0</v>
      </c>
      <c r="E37" s="47">
        <v>0</v>
      </c>
      <c r="F37" s="47">
        <v>0</v>
      </c>
      <c r="G37" s="47">
        <v>1</v>
      </c>
      <c r="H37" s="47">
        <v>0</v>
      </c>
      <c r="I37" s="47">
        <v>0</v>
      </c>
    </row>
    <row r="38" spans="1:9" ht="15.75" customHeight="1">
      <c r="A38" s="46" t="str">
        <v>Terapeuta Ocupacional</v>
      </c>
      <c r="B38" s="72">
        <v>3</v>
      </c>
      <c r="C38" s="47">
        <v>1</v>
      </c>
      <c r="D38" s="47">
        <v>0</v>
      </c>
      <c r="E38" s="47">
        <v>1</v>
      </c>
      <c r="F38" s="47">
        <v>0</v>
      </c>
      <c r="G38" s="47">
        <v>0</v>
      </c>
      <c r="H38" s="47">
        <v>1</v>
      </c>
      <c r="I38" s="47">
        <v>0</v>
      </c>
    </row>
    <row r="39" spans="1:9" ht="15.75" customHeight="1">
      <c r="A39" s="46">
        <v>0</v>
      </c>
      <c r="B39" s="72">
        <v>0</v>
      </c>
      <c r="C39" s="47">
        <v>0</v>
      </c>
      <c r="D39" s="47">
        <v>0</v>
      </c>
      <c r="E39" s="47">
        <v>0</v>
      </c>
      <c r="F39" s="47">
        <v>0</v>
      </c>
      <c r="G39" s="47">
        <v>0</v>
      </c>
      <c r="H39" s="47">
        <v>0</v>
      </c>
      <c r="I39" s="47">
        <v>0</v>
      </c>
    </row>
    <row r="40" spans="1:9" ht="15.75" customHeight="1">
      <c r="A40" s="46"/>
      <c r="B40" s="72">
        <v>0</v>
      </c>
      <c r="C40" s="47">
        <v>0</v>
      </c>
      <c r="D40" s="47">
        <v>0</v>
      </c>
      <c r="E40" s="47">
        <v>0</v>
      </c>
      <c r="F40" s="47">
        <v>0</v>
      </c>
      <c r="G40" s="47">
        <v>0</v>
      </c>
      <c r="H40" s="47">
        <v>0</v>
      </c>
      <c r="I40" s="47">
        <v>0</v>
      </c>
    </row>
    <row r="41" spans="1:9" ht="15.75" customHeight="1">
      <c r="A41" s="46"/>
      <c r="B41" s="72">
        <v>0</v>
      </c>
      <c r="C41" s="47">
        <v>0</v>
      </c>
      <c r="D41" s="47">
        <v>0</v>
      </c>
      <c r="E41" s="47">
        <v>0</v>
      </c>
      <c r="F41" s="47">
        <v>0</v>
      </c>
      <c r="G41" s="47">
        <v>0</v>
      </c>
      <c r="H41" s="47">
        <v>0</v>
      </c>
      <c r="I41" s="47">
        <v>0</v>
      </c>
    </row>
    <row r="42" spans="1:9" ht="15.75" customHeight="1">
      <c r="A42" s="46"/>
      <c r="B42" s="72">
        <v>0</v>
      </c>
      <c r="C42" s="47">
        <v>0</v>
      </c>
      <c r="D42" s="47">
        <v>0</v>
      </c>
      <c r="E42" s="47">
        <v>0</v>
      </c>
      <c r="F42" s="47">
        <v>0</v>
      </c>
      <c r="G42" s="47">
        <v>0</v>
      </c>
      <c r="H42" s="47">
        <v>0</v>
      </c>
      <c r="I42" s="47">
        <v>0</v>
      </c>
    </row>
    <row r="43" spans="1:9" ht="15.75" customHeight="1">
      <c r="A43" s="46"/>
      <c r="B43" s="72">
        <v>0</v>
      </c>
      <c r="C43" s="47">
        <v>0</v>
      </c>
      <c r="D43" s="47">
        <v>0</v>
      </c>
      <c r="E43" s="47">
        <v>0</v>
      </c>
      <c r="F43" s="47">
        <v>0</v>
      </c>
      <c r="G43" s="47">
        <v>0</v>
      </c>
      <c r="H43" s="47">
        <v>0</v>
      </c>
      <c r="I43" s="47">
        <v>0</v>
      </c>
    </row>
    <row r="44" spans="1:9" ht="15.75" customHeight="1">
      <c r="A44" s="46"/>
      <c r="B44" s="72">
        <v>0</v>
      </c>
      <c r="C44" s="47">
        <v>0</v>
      </c>
      <c r="D44" s="47">
        <v>0</v>
      </c>
      <c r="E44" s="47">
        <v>0</v>
      </c>
      <c r="F44" s="47">
        <v>0</v>
      </c>
      <c r="G44" s="47">
        <v>0</v>
      </c>
      <c r="H44" s="47">
        <v>0</v>
      </c>
      <c r="I44" s="47">
        <v>0</v>
      </c>
    </row>
    <row r="45" spans="1:9" ht="15.75" customHeight="1">
      <c r="A45" s="46"/>
      <c r="B45" s="72">
        <v>0</v>
      </c>
      <c r="C45" s="47">
        <v>0</v>
      </c>
      <c r="D45" s="47">
        <v>0</v>
      </c>
      <c r="E45" s="47">
        <v>0</v>
      </c>
      <c r="F45" s="47">
        <v>0</v>
      </c>
      <c r="G45" s="47">
        <v>0</v>
      </c>
      <c r="H45" s="47">
        <v>0</v>
      </c>
      <c r="I45" s="47">
        <v>0</v>
      </c>
    </row>
    <row r="46" spans="1:9" ht="15.75" customHeight="1">
      <c r="A46" s="46"/>
      <c r="B46" s="72">
        <v>0</v>
      </c>
      <c r="C46" s="47">
        <v>0</v>
      </c>
      <c r="D46" s="47">
        <v>0</v>
      </c>
      <c r="E46" s="47">
        <v>0</v>
      </c>
      <c r="F46" s="47">
        <v>0</v>
      </c>
      <c r="G46" s="47">
        <v>0</v>
      </c>
      <c r="H46" s="47">
        <v>0</v>
      </c>
      <c r="I46" s="47">
        <v>0</v>
      </c>
    </row>
    <row r="47" spans="1:9" ht="15.75" customHeight="1">
      <c r="A47" s="46"/>
      <c r="B47" s="72">
        <v>0</v>
      </c>
      <c r="C47" s="47">
        <v>0</v>
      </c>
      <c r="D47" s="47">
        <v>0</v>
      </c>
      <c r="E47" s="47">
        <v>0</v>
      </c>
      <c r="F47" s="47">
        <v>0</v>
      </c>
      <c r="G47" s="47">
        <v>0</v>
      </c>
      <c r="H47" s="47">
        <v>0</v>
      </c>
      <c r="I47" s="47">
        <v>0</v>
      </c>
    </row>
    <row r="48" spans="1:9" ht="15.75" customHeight="1">
      <c r="A48" s="46"/>
      <c r="B48" s="72">
        <v>0</v>
      </c>
      <c r="C48" s="47">
        <v>0</v>
      </c>
      <c r="D48" s="47">
        <v>0</v>
      </c>
      <c r="E48" s="47">
        <v>0</v>
      </c>
      <c r="F48" s="47">
        <v>0</v>
      </c>
      <c r="G48" s="47">
        <v>0</v>
      </c>
      <c r="H48" s="47">
        <v>0</v>
      </c>
      <c r="I48" s="47">
        <v>0</v>
      </c>
    </row>
    <row r="49" spans="1:9" ht="15.75" customHeight="1">
      <c r="A49" s="46"/>
      <c r="B49" s="72">
        <v>0</v>
      </c>
      <c r="C49" s="47">
        <v>0</v>
      </c>
      <c r="D49" s="47">
        <v>0</v>
      </c>
      <c r="E49" s="47">
        <v>0</v>
      </c>
      <c r="F49" s="47">
        <v>0</v>
      </c>
      <c r="G49" s="47">
        <v>0</v>
      </c>
      <c r="H49" s="47">
        <v>0</v>
      </c>
      <c r="I49" s="47">
        <v>0</v>
      </c>
    </row>
    <row r="50" spans="1:9" ht="15.75" customHeight="1">
      <c r="A50" s="46"/>
      <c r="B50" s="72">
        <v>0</v>
      </c>
      <c r="C50" s="47">
        <v>0</v>
      </c>
      <c r="D50" s="47">
        <v>0</v>
      </c>
      <c r="E50" s="47">
        <v>0</v>
      </c>
      <c r="F50" s="47">
        <v>0</v>
      </c>
      <c r="G50" s="47">
        <v>0</v>
      </c>
      <c r="H50" s="47">
        <v>0</v>
      </c>
      <c r="I50" s="47">
        <v>0</v>
      </c>
    </row>
    <row r="51" spans="1:9" ht="15.75" customHeight="1">
      <c r="A51" s="46"/>
      <c r="B51" s="72">
        <v>0</v>
      </c>
      <c r="C51" s="47">
        <v>0</v>
      </c>
      <c r="D51" s="47">
        <v>0</v>
      </c>
      <c r="E51" s="47">
        <v>0</v>
      </c>
      <c r="F51" s="47">
        <v>0</v>
      </c>
      <c r="G51" s="47">
        <v>0</v>
      </c>
      <c r="H51" s="47">
        <v>0</v>
      </c>
      <c r="I51" s="47">
        <v>0</v>
      </c>
    </row>
    <row r="52" spans="1:9" ht="15.75" customHeight="1">
      <c r="A52" s="46"/>
      <c r="B52" s="72">
        <v>0</v>
      </c>
      <c r="C52" s="47">
        <v>0</v>
      </c>
      <c r="D52" s="47">
        <v>0</v>
      </c>
      <c r="E52" s="47">
        <v>0</v>
      </c>
      <c r="F52" s="47">
        <v>0</v>
      </c>
      <c r="G52" s="47">
        <v>0</v>
      </c>
      <c r="H52" s="47">
        <v>0</v>
      </c>
      <c r="I52" s="47">
        <v>0</v>
      </c>
    </row>
    <row r="53" spans="1:9" ht="15.75" customHeight="1">
      <c r="A53" s="46"/>
      <c r="B53" s="72">
        <v>0</v>
      </c>
      <c r="C53" s="47">
        <v>0</v>
      </c>
      <c r="D53" s="47">
        <v>0</v>
      </c>
      <c r="E53" s="47">
        <v>0</v>
      </c>
      <c r="F53" s="47">
        <v>0</v>
      </c>
      <c r="G53" s="47">
        <v>0</v>
      </c>
      <c r="H53" s="47">
        <v>0</v>
      </c>
      <c r="I53" s="47">
        <v>0</v>
      </c>
    </row>
    <row r="54" spans="1:9" ht="15.75" customHeight="1">
      <c r="A54" s="46"/>
      <c r="B54" s="72">
        <v>0</v>
      </c>
      <c r="C54" s="47">
        <v>0</v>
      </c>
      <c r="D54" s="47">
        <v>0</v>
      </c>
      <c r="E54" s="47">
        <v>0</v>
      </c>
      <c r="F54" s="47">
        <v>0</v>
      </c>
      <c r="G54" s="47">
        <v>0</v>
      </c>
      <c r="H54" s="47">
        <v>0</v>
      </c>
      <c r="I54" s="47">
        <v>0</v>
      </c>
    </row>
    <row r="55" spans="1:9" ht="15.75" customHeight="1">
      <c r="A55" s="46"/>
      <c r="B55" s="72">
        <v>0</v>
      </c>
      <c r="C55" s="47">
        <v>0</v>
      </c>
      <c r="D55" s="47">
        <v>0</v>
      </c>
      <c r="E55" s="47">
        <v>0</v>
      </c>
      <c r="F55" s="47">
        <v>0</v>
      </c>
      <c r="G55" s="47">
        <v>0</v>
      </c>
      <c r="H55" s="47">
        <v>0</v>
      </c>
      <c r="I55" s="47">
        <v>0</v>
      </c>
    </row>
    <row r="56" spans="1:9" ht="15.75" customHeight="1">
      <c r="A56" s="46"/>
      <c r="B56" s="72">
        <v>0</v>
      </c>
      <c r="C56" s="47">
        <v>0</v>
      </c>
      <c r="D56" s="47">
        <v>0</v>
      </c>
      <c r="E56" s="47">
        <v>0</v>
      </c>
      <c r="F56" s="47">
        <v>0</v>
      </c>
      <c r="G56" s="47">
        <v>0</v>
      </c>
      <c r="H56" s="47">
        <v>0</v>
      </c>
      <c r="I56" s="47">
        <v>0</v>
      </c>
    </row>
    <row r="57" spans="1:9" ht="15.75" customHeight="1">
      <c r="A57" s="46"/>
      <c r="B57" s="72">
        <v>0</v>
      </c>
      <c r="C57" s="47">
        <v>0</v>
      </c>
      <c r="D57" s="47">
        <v>0</v>
      </c>
      <c r="E57" s="47">
        <v>0</v>
      </c>
      <c r="F57" s="47">
        <v>0</v>
      </c>
      <c r="G57" s="47">
        <v>0</v>
      </c>
      <c r="H57" s="47">
        <v>0</v>
      </c>
      <c r="I57" s="47">
        <v>0</v>
      </c>
    </row>
    <row r="58" spans="1:9" ht="15.75" customHeight="1">
      <c r="A58" s="46"/>
      <c r="B58" s="72">
        <v>0</v>
      </c>
      <c r="C58" s="47">
        <v>0</v>
      </c>
      <c r="D58" s="47">
        <v>0</v>
      </c>
      <c r="E58" s="47">
        <v>0</v>
      </c>
      <c r="F58" s="47">
        <v>0</v>
      </c>
      <c r="G58" s="47">
        <v>0</v>
      </c>
      <c r="H58" s="47">
        <v>0</v>
      </c>
      <c r="I58" s="47">
        <v>0</v>
      </c>
    </row>
    <row r="59" spans="1:9" ht="15.75" customHeight="1">
      <c r="A59" s="46"/>
      <c r="B59" s="72">
        <v>0</v>
      </c>
      <c r="C59" s="47">
        <v>0</v>
      </c>
      <c r="D59" s="47">
        <v>0</v>
      </c>
      <c r="E59" s="47">
        <v>0</v>
      </c>
      <c r="F59" s="47">
        <v>0</v>
      </c>
      <c r="G59" s="47">
        <v>0</v>
      </c>
      <c r="H59" s="47">
        <v>0</v>
      </c>
      <c r="I59" s="47">
        <v>0</v>
      </c>
    </row>
    <row r="60" spans="1:9" ht="15.75" customHeight="1">
      <c r="A60" s="46"/>
      <c r="B60" s="72">
        <v>0</v>
      </c>
      <c r="C60" s="47">
        <v>0</v>
      </c>
      <c r="D60" s="47">
        <v>0</v>
      </c>
      <c r="E60" s="47">
        <v>0</v>
      </c>
      <c r="F60" s="47">
        <v>0</v>
      </c>
      <c r="G60" s="47">
        <v>0</v>
      </c>
      <c r="H60" s="47">
        <v>0</v>
      </c>
      <c r="I60" s="47">
        <v>0</v>
      </c>
    </row>
    <row r="61" spans="1:9" ht="15.75" customHeight="1">
      <c r="A61" s="46"/>
      <c r="B61" s="72">
        <v>0</v>
      </c>
      <c r="C61" s="47">
        <v>0</v>
      </c>
      <c r="D61" s="47">
        <v>0</v>
      </c>
      <c r="E61" s="47">
        <v>0</v>
      </c>
      <c r="F61" s="47">
        <v>0</v>
      </c>
      <c r="G61" s="47">
        <v>0</v>
      </c>
      <c r="H61" s="47">
        <v>0</v>
      </c>
      <c r="I61" s="47">
        <v>0</v>
      </c>
    </row>
    <row r="62" spans="1:9" ht="15.75" customHeight="1">
      <c r="A62" s="46"/>
      <c r="B62" s="72">
        <v>0</v>
      </c>
      <c r="C62" s="47">
        <v>0</v>
      </c>
      <c r="D62" s="47">
        <v>0</v>
      </c>
      <c r="E62" s="47">
        <v>0</v>
      </c>
      <c r="F62" s="47">
        <v>0</v>
      </c>
      <c r="G62" s="47">
        <v>0</v>
      </c>
      <c r="H62" s="47">
        <v>0</v>
      </c>
      <c r="I62" s="47">
        <v>0</v>
      </c>
    </row>
    <row r="63" spans="1:9" ht="15.75" customHeight="1">
      <c r="A63" s="46"/>
      <c r="B63" s="72">
        <v>0</v>
      </c>
      <c r="C63" s="47">
        <v>0</v>
      </c>
      <c r="D63" s="47">
        <v>0</v>
      </c>
      <c r="E63" s="47">
        <v>0</v>
      </c>
      <c r="F63" s="47">
        <v>0</v>
      </c>
      <c r="G63" s="47">
        <v>0</v>
      </c>
      <c r="H63" s="47">
        <v>0</v>
      </c>
      <c r="I63" s="47">
        <v>0</v>
      </c>
    </row>
    <row r="64" spans="1:9" ht="15.75" customHeight="1">
      <c r="A64" s="46"/>
      <c r="B64" s="72">
        <v>0</v>
      </c>
      <c r="C64" s="47">
        <v>0</v>
      </c>
      <c r="D64" s="47">
        <v>0</v>
      </c>
      <c r="E64" s="47">
        <v>0</v>
      </c>
      <c r="F64" s="47">
        <v>0</v>
      </c>
      <c r="G64" s="47">
        <v>0</v>
      </c>
      <c r="H64" s="47">
        <v>0</v>
      </c>
      <c r="I64" s="47">
        <v>0</v>
      </c>
    </row>
    <row r="65" spans="1:9" ht="15.75" customHeight="1">
      <c r="A65" s="46"/>
      <c r="B65" s="72">
        <v>0</v>
      </c>
      <c r="C65" s="47">
        <v>0</v>
      </c>
      <c r="D65" s="47">
        <v>0</v>
      </c>
      <c r="E65" s="47">
        <v>0</v>
      </c>
      <c r="F65" s="47">
        <v>0</v>
      </c>
      <c r="G65" s="47">
        <v>0</v>
      </c>
      <c r="H65" s="47">
        <v>0</v>
      </c>
      <c r="I65" s="47">
        <v>0</v>
      </c>
    </row>
    <row r="66" spans="1:9" ht="15.75" customHeight="1">
      <c r="A66" s="46"/>
      <c r="B66" s="72">
        <v>0</v>
      </c>
      <c r="C66" s="47">
        <v>0</v>
      </c>
      <c r="D66" s="47">
        <v>0</v>
      </c>
      <c r="E66" s="47">
        <v>0</v>
      </c>
      <c r="F66" s="47">
        <v>0</v>
      </c>
      <c r="G66" s="47">
        <v>0</v>
      </c>
      <c r="H66" s="47">
        <v>0</v>
      </c>
      <c r="I66" s="47">
        <v>0</v>
      </c>
    </row>
    <row r="67" spans="1:9" ht="15.75" customHeight="1">
      <c r="A67" s="46"/>
      <c r="B67" s="72">
        <v>0</v>
      </c>
      <c r="C67" s="47">
        <v>0</v>
      </c>
      <c r="D67" s="47">
        <v>0</v>
      </c>
      <c r="E67" s="47">
        <v>0</v>
      </c>
      <c r="F67" s="47">
        <v>0</v>
      </c>
      <c r="G67" s="47">
        <v>0</v>
      </c>
      <c r="H67" s="47">
        <v>0</v>
      </c>
      <c r="I67" s="47">
        <v>0</v>
      </c>
    </row>
    <row r="68" spans="1:9" ht="15.75" customHeight="1">
      <c r="A68" s="46"/>
      <c r="B68" s="72">
        <v>0</v>
      </c>
      <c r="C68" s="47">
        <v>0</v>
      </c>
      <c r="D68" s="47">
        <v>0</v>
      </c>
      <c r="E68" s="47">
        <v>0</v>
      </c>
      <c r="F68" s="47">
        <v>0</v>
      </c>
      <c r="G68" s="47">
        <v>0</v>
      </c>
      <c r="H68" s="47">
        <v>0</v>
      </c>
      <c r="I68" s="47">
        <v>0</v>
      </c>
    </row>
    <row r="69" spans="1:9" ht="15.75" customHeight="1">
      <c r="A69" s="46"/>
      <c r="B69" s="72">
        <v>0</v>
      </c>
      <c r="C69" s="47">
        <v>0</v>
      </c>
      <c r="D69" s="47">
        <v>0</v>
      </c>
      <c r="E69" s="47">
        <v>0</v>
      </c>
      <c r="F69" s="47">
        <v>0</v>
      </c>
      <c r="G69" s="47">
        <v>0</v>
      </c>
      <c r="H69" s="47">
        <v>0</v>
      </c>
      <c r="I69" s="47">
        <v>0</v>
      </c>
    </row>
    <row r="70" spans="1:9" ht="15.75" customHeight="1">
      <c r="A70" s="46"/>
      <c r="B70" s="72">
        <v>0</v>
      </c>
      <c r="C70" s="47">
        <v>0</v>
      </c>
      <c r="D70" s="47">
        <v>0</v>
      </c>
      <c r="E70" s="47">
        <v>0</v>
      </c>
      <c r="F70" s="47">
        <v>0</v>
      </c>
      <c r="G70" s="47">
        <v>0</v>
      </c>
      <c r="H70" s="47">
        <v>0</v>
      </c>
      <c r="I70" s="47">
        <v>0</v>
      </c>
    </row>
    <row r="71" spans="1:9" ht="15.75" customHeight="1">
      <c r="A71" s="46"/>
      <c r="B71" s="72">
        <v>0</v>
      </c>
      <c r="C71" s="47">
        <v>0</v>
      </c>
      <c r="D71" s="47">
        <v>0</v>
      </c>
      <c r="E71" s="47">
        <v>0</v>
      </c>
      <c r="F71" s="47">
        <v>0</v>
      </c>
      <c r="G71" s="47">
        <v>0</v>
      </c>
      <c r="H71" s="47">
        <v>0</v>
      </c>
      <c r="I71" s="47">
        <v>0</v>
      </c>
    </row>
    <row r="72" spans="1:9" ht="15.75" customHeight="1">
      <c r="A72" s="46"/>
      <c r="B72" s="72">
        <v>0</v>
      </c>
      <c r="C72" s="47">
        <v>0</v>
      </c>
      <c r="D72" s="47">
        <v>0</v>
      </c>
      <c r="E72" s="47">
        <v>0</v>
      </c>
      <c r="F72" s="47">
        <v>0</v>
      </c>
      <c r="G72" s="47">
        <v>0</v>
      </c>
      <c r="H72" s="47">
        <v>0</v>
      </c>
      <c r="I72" s="47">
        <v>0</v>
      </c>
    </row>
    <row r="73" spans="1:9" ht="15.75" customHeight="1">
      <c r="A73" s="46"/>
      <c r="B73" s="72">
        <v>0</v>
      </c>
      <c r="C73" s="47">
        <v>0</v>
      </c>
      <c r="D73" s="47">
        <v>0</v>
      </c>
      <c r="E73" s="47">
        <v>0</v>
      </c>
      <c r="F73" s="47">
        <v>0</v>
      </c>
      <c r="G73" s="47">
        <v>0</v>
      </c>
      <c r="H73" s="47">
        <v>0</v>
      </c>
      <c r="I73" s="47">
        <v>0</v>
      </c>
    </row>
    <row r="74" spans="1:9" ht="15.75" customHeight="1">
      <c r="A74" s="46"/>
      <c r="B74" s="72">
        <v>0</v>
      </c>
      <c r="C74" s="47">
        <v>0</v>
      </c>
      <c r="D74" s="47">
        <v>0</v>
      </c>
      <c r="E74" s="47">
        <v>0</v>
      </c>
      <c r="F74" s="47">
        <v>0</v>
      </c>
      <c r="G74" s="47">
        <v>0</v>
      </c>
      <c r="H74" s="47">
        <v>0</v>
      </c>
      <c r="I74" s="47">
        <v>0</v>
      </c>
    </row>
    <row r="75" spans="1:9" ht="15.75" customHeight="1">
      <c r="A75" s="46"/>
      <c r="B75" s="72">
        <v>0</v>
      </c>
      <c r="C75" s="47">
        <v>0</v>
      </c>
      <c r="D75" s="47">
        <v>0</v>
      </c>
      <c r="E75" s="47">
        <v>0</v>
      </c>
      <c r="F75" s="47">
        <v>0</v>
      </c>
      <c r="G75" s="47">
        <v>0</v>
      </c>
      <c r="H75" s="47">
        <v>0</v>
      </c>
      <c r="I75" s="47">
        <v>0</v>
      </c>
    </row>
    <row r="76" spans="1:9" ht="15.75" customHeight="1">
      <c r="A76" s="46"/>
      <c r="B76" s="72">
        <v>0</v>
      </c>
      <c r="C76" s="47">
        <v>0</v>
      </c>
      <c r="D76" s="47">
        <v>0</v>
      </c>
      <c r="E76" s="47">
        <v>0</v>
      </c>
      <c r="F76" s="47">
        <v>0</v>
      </c>
      <c r="G76" s="47">
        <v>0</v>
      </c>
      <c r="H76" s="47">
        <v>0</v>
      </c>
      <c r="I76" s="47">
        <v>0</v>
      </c>
    </row>
    <row r="77" spans="1:9" ht="15.75" customHeight="1">
      <c r="A77" s="46"/>
      <c r="B77" s="72">
        <v>0</v>
      </c>
      <c r="C77" s="47">
        <v>0</v>
      </c>
      <c r="D77" s="47">
        <v>0</v>
      </c>
      <c r="E77" s="47">
        <v>0</v>
      </c>
      <c r="F77" s="47">
        <v>0</v>
      </c>
      <c r="G77" s="47">
        <v>0</v>
      </c>
      <c r="H77" s="47">
        <v>0</v>
      </c>
      <c r="I77" s="47">
        <v>0</v>
      </c>
    </row>
    <row r="78" spans="1:9" ht="15.75" customHeight="1">
      <c r="A78" s="46"/>
      <c r="B78" s="72">
        <v>0</v>
      </c>
      <c r="C78" s="47">
        <v>0</v>
      </c>
      <c r="D78" s="47">
        <v>0</v>
      </c>
      <c r="E78" s="47">
        <v>0</v>
      </c>
      <c r="F78" s="47">
        <v>0</v>
      </c>
      <c r="G78" s="47">
        <v>0</v>
      </c>
      <c r="H78" s="47">
        <v>0</v>
      </c>
      <c r="I78" s="47">
        <v>0</v>
      </c>
    </row>
    <row r="79" spans="1:9" ht="15.75" customHeight="1">
      <c r="A79" s="46"/>
      <c r="B79" s="72">
        <v>0</v>
      </c>
      <c r="C79" s="47">
        <v>0</v>
      </c>
      <c r="D79" s="47">
        <v>0</v>
      </c>
      <c r="E79" s="47">
        <v>0</v>
      </c>
      <c r="F79" s="47">
        <v>0</v>
      </c>
      <c r="G79" s="47">
        <v>0</v>
      </c>
      <c r="H79" s="47">
        <v>0</v>
      </c>
      <c r="I79" s="47">
        <v>0</v>
      </c>
    </row>
    <row r="80" spans="1:9" ht="15.75" customHeight="1">
      <c r="A80" s="46"/>
      <c r="B80" s="72">
        <v>0</v>
      </c>
      <c r="C80" s="47">
        <v>0</v>
      </c>
      <c r="D80" s="47">
        <v>0</v>
      </c>
      <c r="E80" s="47">
        <v>0</v>
      </c>
      <c r="F80" s="47">
        <v>0</v>
      </c>
      <c r="G80" s="47">
        <v>0</v>
      </c>
      <c r="H80" s="47">
        <v>0</v>
      </c>
      <c r="I80" s="47">
        <v>0</v>
      </c>
    </row>
    <row r="81" spans="1:9" ht="15.75" customHeight="1">
      <c r="A81" s="46"/>
      <c r="B81" s="72">
        <v>0</v>
      </c>
      <c r="C81" s="47">
        <v>0</v>
      </c>
      <c r="D81" s="47">
        <v>0</v>
      </c>
      <c r="E81" s="47">
        <v>0</v>
      </c>
      <c r="F81" s="47">
        <v>0</v>
      </c>
      <c r="G81" s="47">
        <v>0</v>
      </c>
      <c r="H81" s="47">
        <v>0</v>
      </c>
      <c r="I81" s="47">
        <v>0</v>
      </c>
    </row>
    <row r="82" spans="1:9" ht="15.75" customHeight="1">
      <c r="A82" s="46"/>
      <c r="B82" s="72">
        <v>0</v>
      </c>
      <c r="C82" s="47">
        <v>0</v>
      </c>
      <c r="D82" s="47">
        <v>0</v>
      </c>
      <c r="E82" s="47">
        <v>0</v>
      </c>
      <c r="F82" s="47">
        <v>0</v>
      </c>
      <c r="G82" s="47">
        <v>0</v>
      </c>
      <c r="H82" s="47">
        <v>0</v>
      </c>
      <c r="I82" s="47">
        <v>0</v>
      </c>
    </row>
    <row r="83" spans="1:9" ht="15.75" customHeight="1">
      <c r="A83" s="46"/>
      <c r="B83" s="72">
        <v>0</v>
      </c>
      <c r="C83" s="47">
        <v>0</v>
      </c>
      <c r="D83" s="47">
        <v>0</v>
      </c>
      <c r="E83" s="47">
        <v>0</v>
      </c>
      <c r="F83" s="47">
        <v>0</v>
      </c>
      <c r="G83" s="47">
        <v>0</v>
      </c>
      <c r="H83" s="47">
        <v>0</v>
      </c>
      <c r="I83" s="47">
        <v>0</v>
      </c>
    </row>
    <row r="84" spans="1:9" ht="15.75" customHeight="1">
      <c r="A84" s="46"/>
      <c r="B84" s="72">
        <v>0</v>
      </c>
      <c r="C84" s="47">
        <v>0</v>
      </c>
      <c r="D84" s="47">
        <v>0</v>
      </c>
      <c r="E84" s="47">
        <v>0</v>
      </c>
      <c r="F84" s="47">
        <v>0</v>
      </c>
      <c r="G84" s="47">
        <v>0</v>
      </c>
      <c r="H84" s="47">
        <v>0</v>
      </c>
      <c r="I84" s="47">
        <v>0</v>
      </c>
    </row>
    <row r="85" spans="1:9" ht="15.75" customHeight="1">
      <c r="A85" s="46"/>
      <c r="B85" s="72">
        <v>0</v>
      </c>
      <c r="C85" s="47">
        <v>0</v>
      </c>
      <c r="D85" s="47">
        <v>0</v>
      </c>
      <c r="E85" s="47">
        <v>0</v>
      </c>
      <c r="F85" s="47">
        <v>0</v>
      </c>
      <c r="G85" s="47">
        <v>0</v>
      </c>
      <c r="H85" s="47">
        <v>0</v>
      </c>
      <c r="I85" s="47">
        <v>0</v>
      </c>
    </row>
    <row r="86" spans="1:9" ht="15.75" customHeight="1">
      <c r="A86" s="46"/>
      <c r="B86" s="72">
        <v>0</v>
      </c>
      <c r="C86" s="47">
        <v>0</v>
      </c>
      <c r="D86" s="47">
        <v>0</v>
      </c>
      <c r="E86" s="47">
        <v>0</v>
      </c>
      <c r="F86" s="47">
        <v>0</v>
      </c>
      <c r="G86" s="47">
        <v>0</v>
      </c>
      <c r="H86" s="47">
        <v>0</v>
      </c>
      <c r="I86" s="47">
        <v>0</v>
      </c>
    </row>
    <row r="87" spans="1:9" ht="15.75" customHeight="1">
      <c r="A87" s="46"/>
      <c r="B87" s="72">
        <v>0</v>
      </c>
      <c r="C87" s="47">
        <v>0</v>
      </c>
      <c r="D87" s="47">
        <v>0</v>
      </c>
      <c r="E87" s="47">
        <v>0</v>
      </c>
      <c r="F87" s="47">
        <v>0</v>
      </c>
      <c r="G87" s="47">
        <v>0</v>
      </c>
      <c r="H87" s="47">
        <v>0</v>
      </c>
      <c r="I87" s="47">
        <v>0</v>
      </c>
    </row>
    <row r="88" spans="1:9" ht="15.75" customHeight="1">
      <c r="A88" s="46"/>
      <c r="B88" s="72">
        <v>0</v>
      </c>
      <c r="C88" s="47">
        <v>0</v>
      </c>
      <c r="D88" s="47">
        <v>0</v>
      </c>
      <c r="E88" s="47">
        <v>0</v>
      </c>
      <c r="F88" s="47">
        <v>0</v>
      </c>
      <c r="G88" s="47">
        <v>0</v>
      </c>
      <c r="H88" s="47">
        <v>0</v>
      </c>
      <c r="I88" s="47">
        <v>0</v>
      </c>
    </row>
    <row r="89" spans="1:9" ht="15.75" customHeight="1">
      <c r="A89" s="46"/>
      <c r="B89" s="72">
        <v>0</v>
      </c>
      <c r="C89" s="47">
        <v>0</v>
      </c>
      <c r="D89" s="47">
        <v>0</v>
      </c>
      <c r="E89" s="47">
        <v>0</v>
      </c>
      <c r="F89" s="47">
        <v>0</v>
      </c>
      <c r="G89" s="47">
        <v>0</v>
      </c>
      <c r="H89" s="47">
        <v>0</v>
      </c>
      <c r="I89" s="47">
        <v>0</v>
      </c>
    </row>
    <row r="90" spans="1:9" ht="15.75" customHeight="1">
      <c r="A90" s="46"/>
      <c r="B90" s="72">
        <v>0</v>
      </c>
      <c r="C90" s="47">
        <v>0</v>
      </c>
      <c r="D90" s="47">
        <v>0</v>
      </c>
      <c r="E90" s="47">
        <v>0</v>
      </c>
      <c r="F90" s="47">
        <v>0</v>
      </c>
      <c r="G90" s="47">
        <v>0</v>
      </c>
      <c r="H90" s="47">
        <v>0</v>
      </c>
      <c r="I90" s="47">
        <v>0</v>
      </c>
    </row>
    <row r="91" spans="1:9" ht="15.75" customHeight="1">
      <c r="A91" s="46"/>
      <c r="B91" s="72">
        <v>0</v>
      </c>
      <c r="C91" s="47">
        <v>0</v>
      </c>
      <c r="D91" s="47">
        <v>0</v>
      </c>
      <c r="E91" s="47">
        <v>0</v>
      </c>
      <c r="F91" s="47">
        <v>0</v>
      </c>
      <c r="G91" s="47">
        <v>0</v>
      </c>
      <c r="H91" s="47">
        <v>0</v>
      </c>
      <c r="I91" s="47">
        <v>0</v>
      </c>
    </row>
    <row r="92" spans="1:9" ht="15.75" customHeight="1">
      <c r="A92" s="46"/>
      <c r="B92" s="72">
        <v>0</v>
      </c>
      <c r="C92" s="47">
        <v>0</v>
      </c>
      <c r="D92" s="47">
        <v>0</v>
      </c>
      <c r="E92" s="47">
        <v>0</v>
      </c>
      <c r="F92" s="47">
        <v>0</v>
      </c>
      <c r="G92" s="47">
        <v>0</v>
      </c>
      <c r="H92" s="47">
        <v>0</v>
      </c>
      <c r="I92" s="47">
        <v>0</v>
      </c>
    </row>
    <row r="93" spans="1:9" ht="15.75" customHeight="1">
      <c r="B93" s="71">
        <v>0</v>
      </c>
      <c r="C93" s="48">
        <v>0</v>
      </c>
      <c r="D93" s="48">
        <v>0</v>
      </c>
      <c r="E93" s="48">
        <v>0</v>
      </c>
      <c r="F93" s="48">
        <v>0</v>
      </c>
      <c r="G93" s="48">
        <v>0</v>
      </c>
      <c r="H93" s="48">
        <v>0</v>
      </c>
      <c r="I93" s="48">
        <v>0</v>
      </c>
    </row>
    <row r="94" spans="1:9" ht="15.75" customHeight="1">
      <c r="B94" s="71">
        <v>0</v>
      </c>
      <c r="C94" s="48">
        <v>0</v>
      </c>
      <c r="D94" s="48">
        <v>0</v>
      </c>
      <c r="E94" s="48">
        <v>0</v>
      </c>
      <c r="F94" s="48">
        <v>0</v>
      </c>
      <c r="G94" s="48">
        <v>0</v>
      </c>
      <c r="H94" s="48">
        <v>0</v>
      </c>
      <c r="I94" s="48">
        <v>0</v>
      </c>
    </row>
    <row r="95" spans="1:9" ht="15.75" customHeight="1">
      <c r="B95" s="71">
        <v>0</v>
      </c>
      <c r="C95" s="48">
        <v>0</v>
      </c>
      <c r="D95" s="48">
        <v>0</v>
      </c>
      <c r="E95" s="48">
        <v>0</v>
      </c>
      <c r="F95" s="48">
        <v>0</v>
      </c>
      <c r="G95" s="48">
        <v>0</v>
      </c>
      <c r="H95" s="48">
        <v>0</v>
      </c>
      <c r="I95" s="48">
        <v>0</v>
      </c>
    </row>
    <row r="96" spans="1:9" ht="15.75" customHeight="1">
      <c r="B96" s="71">
        <v>0</v>
      </c>
      <c r="C96" s="48">
        <v>0</v>
      </c>
      <c r="D96" s="48">
        <v>0</v>
      </c>
      <c r="E96" s="48">
        <v>0</v>
      </c>
      <c r="F96" s="48">
        <v>0</v>
      </c>
      <c r="G96" s="48">
        <v>0</v>
      </c>
      <c r="H96" s="48">
        <v>0</v>
      </c>
      <c r="I96" s="48">
        <v>0</v>
      </c>
    </row>
    <row r="97" spans="2:9" ht="15.75" customHeight="1">
      <c r="B97" s="71">
        <v>0</v>
      </c>
      <c r="C97" s="48">
        <v>0</v>
      </c>
      <c r="D97" s="48">
        <v>0</v>
      </c>
      <c r="E97" s="48">
        <v>0</v>
      </c>
      <c r="F97" s="48">
        <v>0</v>
      </c>
      <c r="G97" s="48">
        <v>0</v>
      </c>
      <c r="H97" s="48">
        <v>0</v>
      </c>
      <c r="I97" s="48">
        <v>0</v>
      </c>
    </row>
    <row r="98" spans="2:9" ht="15.75" customHeight="1">
      <c r="B98" s="71">
        <v>0</v>
      </c>
      <c r="C98" s="48">
        <v>0</v>
      </c>
      <c r="D98" s="48">
        <v>0</v>
      </c>
      <c r="E98" s="48">
        <v>0</v>
      </c>
      <c r="F98" s="48">
        <v>0</v>
      </c>
      <c r="G98" s="48">
        <v>0</v>
      </c>
      <c r="H98" s="48">
        <v>0</v>
      </c>
      <c r="I98" s="48">
        <v>0</v>
      </c>
    </row>
    <row r="99" spans="2:9" ht="15.75" customHeight="1">
      <c r="B99" s="71">
        <v>0</v>
      </c>
      <c r="C99" s="48">
        <v>0</v>
      </c>
      <c r="D99" s="48">
        <v>0</v>
      </c>
      <c r="E99" s="48">
        <v>0</v>
      </c>
      <c r="F99" s="48">
        <v>0</v>
      </c>
      <c r="G99" s="48">
        <v>0</v>
      </c>
      <c r="H99" s="48">
        <v>0</v>
      </c>
      <c r="I99" s="48">
        <v>0</v>
      </c>
    </row>
    <row r="100" spans="2:9" ht="15.75" customHeight="1">
      <c r="B100" s="71">
        <v>0</v>
      </c>
      <c r="C100" s="48">
        <v>0</v>
      </c>
      <c r="D100" s="48">
        <v>0</v>
      </c>
      <c r="E100" s="48">
        <v>0</v>
      </c>
      <c r="F100" s="48">
        <v>0</v>
      </c>
      <c r="G100" s="48">
        <v>0</v>
      </c>
      <c r="H100" s="48">
        <v>0</v>
      </c>
      <c r="I100" s="48">
        <v>0</v>
      </c>
    </row>
    <row r="101" spans="2:9" ht="15.75" customHeight="1">
      <c r="B101" s="71">
        <v>0</v>
      </c>
      <c r="C101" s="48">
        <v>0</v>
      </c>
      <c r="D101" s="48">
        <v>0</v>
      </c>
      <c r="E101" s="48">
        <v>0</v>
      </c>
      <c r="F101" s="48">
        <v>0</v>
      </c>
      <c r="G101" s="48">
        <v>0</v>
      </c>
      <c r="H101" s="48">
        <v>0</v>
      </c>
      <c r="I101" s="48">
        <v>0</v>
      </c>
    </row>
    <row r="102" spans="2:9" ht="15.75" customHeight="1">
      <c r="B102" s="71">
        <v>0</v>
      </c>
      <c r="C102" s="48">
        <v>0</v>
      </c>
      <c r="D102" s="48">
        <v>0</v>
      </c>
      <c r="E102" s="48">
        <v>0</v>
      </c>
      <c r="F102" s="48">
        <v>0</v>
      </c>
      <c r="G102" s="48">
        <v>0</v>
      </c>
      <c r="H102" s="48">
        <v>0</v>
      </c>
      <c r="I102" s="48">
        <v>0</v>
      </c>
    </row>
    <row r="103" spans="2:9" ht="15.75" customHeight="1">
      <c r="B103" s="71">
        <v>0</v>
      </c>
      <c r="C103" s="48">
        <v>0</v>
      </c>
      <c r="D103" s="48">
        <v>0</v>
      </c>
      <c r="E103" s="48">
        <v>0</v>
      </c>
      <c r="F103" s="48">
        <v>0</v>
      </c>
      <c r="G103" s="48">
        <v>0</v>
      </c>
      <c r="H103" s="48">
        <v>0</v>
      </c>
      <c r="I103" s="48">
        <v>0</v>
      </c>
    </row>
    <row r="104" spans="2:9" ht="15.75" customHeight="1">
      <c r="B104" s="71">
        <v>0</v>
      </c>
      <c r="C104" s="48">
        <v>0</v>
      </c>
      <c r="D104" s="48">
        <v>0</v>
      </c>
      <c r="E104" s="48">
        <v>0</v>
      </c>
      <c r="F104" s="48">
        <v>0</v>
      </c>
      <c r="G104" s="48">
        <v>0</v>
      </c>
      <c r="H104" s="48">
        <v>0</v>
      </c>
      <c r="I104" s="48">
        <v>0</v>
      </c>
    </row>
    <row r="105" spans="2:9" ht="15.75" customHeight="1">
      <c r="B105" s="71">
        <v>0</v>
      </c>
      <c r="C105" s="48">
        <v>0</v>
      </c>
      <c r="D105" s="48">
        <v>0</v>
      </c>
      <c r="E105" s="48">
        <v>0</v>
      </c>
      <c r="F105" s="48">
        <v>0</v>
      </c>
      <c r="G105" s="48">
        <v>0</v>
      </c>
      <c r="H105" s="48">
        <v>0</v>
      </c>
      <c r="I105" s="48">
        <v>0</v>
      </c>
    </row>
    <row r="106" spans="2:9" ht="15.75" customHeight="1">
      <c r="B106" s="71">
        <v>0</v>
      </c>
      <c r="C106" s="48">
        <v>0</v>
      </c>
      <c r="D106" s="48">
        <v>0</v>
      </c>
      <c r="E106" s="48">
        <v>0</v>
      </c>
      <c r="F106" s="48">
        <v>0</v>
      </c>
      <c r="G106" s="48">
        <v>0</v>
      </c>
      <c r="H106" s="48">
        <v>0</v>
      </c>
      <c r="I106" s="48">
        <v>0</v>
      </c>
    </row>
    <row r="107" spans="2:9" ht="15.75" customHeight="1">
      <c r="B107" s="71">
        <v>0</v>
      </c>
      <c r="C107" s="48">
        <v>0</v>
      </c>
      <c r="D107" s="48">
        <v>0</v>
      </c>
      <c r="E107" s="48">
        <v>0</v>
      </c>
      <c r="F107" s="48">
        <v>0</v>
      </c>
      <c r="G107" s="48">
        <v>0</v>
      </c>
      <c r="H107" s="48">
        <v>0</v>
      </c>
      <c r="I107" s="48">
        <v>0</v>
      </c>
    </row>
    <row r="108" spans="2:9" ht="15.75" customHeight="1">
      <c r="B108" s="71">
        <v>0</v>
      </c>
      <c r="C108" s="48">
        <v>0</v>
      </c>
      <c r="D108" s="48">
        <v>0</v>
      </c>
      <c r="E108" s="48">
        <v>0</v>
      </c>
      <c r="F108" s="48">
        <v>0</v>
      </c>
      <c r="G108" s="48">
        <v>0</v>
      </c>
      <c r="H108" s="48">
        <v>0</v>
      </c>
      <c r="I108" s="48">
        <v>0</v>
      </c>
    </row>
    <row r="109" spans="2:9" ht="15.75" customHeight="1">
      <c r="B109" s="71">
        <v>0</v>
      </c>
      <c r="C109" s="48">
        <v>0</v>
      </c>
      <c r="D109" s="48">
        <v>0</v>
      </c>
      <c r="E109" s="48">
        <v>0</v>
      </c>
      <c r="F109" s="48">
        <v>0</v>
      </c>
      <c r="G109" s="48">
        <v>0</v>
      </c>
      <c r="H109" s="48">
        <v>0</v>
      </c>
      <c r="I109" s="48">
        <v>0</v>
      </c>
    </row>
    <row r="110" spans="2:9" ht="15.75" customHeight="1">
      <c r="B110" s="71">
        <v>0</v>
      </c>
      <c r="C110" s="48">
        <v>0</v>
      </c>
      <c r="D110" s="48">
        <v>0</v>
      </c>
      <c r="E110" s="48">
        <v>0</v>
      </c>
      <c r="F110" s="48">
        <v>0</v>
      </c>
      <c r="G110" s="48">
        <v>0</v>
      </c>
      <c r="H110" s="48">
        <v>0</v>
      </c>
      <c r="I110" s="48">
        <v>0</v>
      </c>
    </row>
    <row r="111" spans="2:9" ht="15.75" customHeight="1">
      <c r="B111" s="71">
        <v>0</v>
      </c>
      <c r="C111" s="48">
        <v>0</v>
      </c>
      <c r="D111" s="48">
        <v>0</v>
      </c>
      <c r="E111" s="48">
        <v>0</v>
      </c>
      <c r="F111" s="48">
        <v>0</v>
      </c>
      <c r="G111" s="48">
        <v>0</v>
      </c>
      <c r="H111" s="48">
        <v>0</v>
      </c>
      <c r="I111" s="48">
        <v>0</v>
      </c>
    </row>
    <row r="112" spans="2:9" ht="15.75" customHeight="1">
      <c r="B112" s="71">
        <v>0</v>
      </c>
      <c r="C112" s="48">
        <v>0</v>
      </c>
      <c r="D112" s="48">
        <v>0</v>
      </c>
      <c r="E112" s="48">
        <v>0</v>
      </c>
      <c r="F112" s="48">
        <v>0</v>
      </c>
      <c r="G112" s="48">
        <v>0</v>
      </c>
      <c r="H112" s="48">
        <v>0</v>
      </c>
      <c r="I112" s="48">
        <v>0</v>
      </c>
    </row>
    <row r="113" spans="2:9" ht="15.75" customHeight="1">
      <c r="B113" s="71">
        <v>0</v>
      </c>
      <c r="C113" s="48">
        <v>0</v>
      </c>
      <c r="D113" s="48">
        <v>0</v>
      </c>
      <c r="E113" s="48">
        <v>0</v>
      </c>
      <c r="F113" s="48">
        <v>0</v>
      </c>
      <c r="G113" s="48">
        <v>0</v>
      </c>
      <c r="H113" s="48">
        <v>0</v>
      </c>
      <c r="I113" s="48">
        <v>0</v>
      </c>
    </row>
    <row r="114" spans="2:9" ht="15.75" customHeight="1">
      <c r="B114" s="71">
        <v>0</v>
      </c>
      <c r="C114" s="48">
        <v>0</v>
      </c>
      <c r="D114" s="48">
        <v>0</v>
      </c>
      <c r="E114" s="48">
        <v>0</v>
      </c>
      <c r="F114" s="48">
        <v>0</v>
      </c>
      <c r="G114" s="48">
        <v>0</v>
      </c>
      <c r="H114" s="48">
        <v>0</v>
      </c>
      <c r="I114" s="48">
        <v>0</v>
      </c>
    </row>
    <row r="115" spans="2:9" ht="15.75" customHeight="1">
      <c r="B115" s="71">
        <v>0</v>
      </c>
      <c r="C115" s="48">
        <v>0</v>
      </c>
      <c r="D115" s="48">
        <v>0</v>
      </c>
      <c r="E115" s="48">
        <v>0</v>
      </c>
      <c r="F115" s="48">
        <v>0</v>
      </c>
      <c r="G115" s="48">
        <v>0</v>
      </c>
      <c r="H115" s="48">
        <v>0</v>
      </c>
      <c r="I115" s="48">
        <v>0</v>
      </c>
    </row>
    <row r="116" spans="2:9" ht="15.75" customHeight="1">
      <c r="B116" s="71">
        <v>0</v>
      </c>
      <c r="C116" s="48">
        <v>0</v>
      </c>
      <c r="D116" s="48">
        <v>0</v>
      </c>
      <c r="E116" s="48">
        <v>0</v>
      </c>
      <c r="F116" s="48">
        <v>0</v>
      </c>
      <c r="G116" s="48">
        <v>0</v>
      </c>
      <c r="H116" s="48">
        <v>0</v>
      </c>
      <c r="I116" s="48">
        <v>0</v>
      </c>
    </row>
    <row r="117" spans="2:9" ht="15.75" customHeight="1">
      <c r="B117" s="71">
        <v>0</v>
      </c>
      <c r="C117" s="48">
        <v>0</v>
      </c>
      <c r="D117" s="48">
        <v>0</v>
      </c>
      <c r="E117" s="48">
        <v>0</v>
      </c>
      <c r="F117" s="48">
        <v>0</v>
      </c>
      <c r="G117" s="48">
        <v>0</v>
      </c>
      <c r="H117" s="48">
        <v>0</v>
      </c>
      <c r="I117" s="48">
        <v>0</v>
      </c>
    </row>
    <row r="118" spans="2:9" ht="15.75" customHeight="1">
      <c r="B118" s="71">
        <v>0</v>
      </c>
      <c r="C118" s="48">
        <v>0</v>
      </c>
      <c r="D118" s="48">
        <v>0</v>
      </c>
      <c r="E118" s="48">
        <v>0</v>
      </c>
      <c r="F118" s="48">
        <v>0</v>
      </c>
      <c r="G118" s="48">
        <v>0</v>
      </c>
      <c r="H118" s="48">
        <v>0</v>
      </c>
      <c r="I118" s="48">
        <v>0</v>
      </c>
    </row>
    <row r="119" spans="2:9" ht="15.75" customHeight="1">
      <c r="B119" s="71">
        <v>0</v>
      </c>
      <c r="C119" s="48">
        <v>0</v>
      </c>
      <c r="D119" s="48">
        <v>0</v>
      </c>
      <c r="E119" s="48">
        <v>0</v>
      </c>
      <c r="F119" s="48">
        <v>0</v>
      </c>
      <c r="G119" s="48">
        <v>0</v>
      </c>
      <c r="H119" s="48">
        <v>0</v>
      </c>
      <c r="I119" s="48">
        <v>0</v>
      </c>
    </row>
    <row r="120" spans="2:9" ht="15.75" customHeight="1">
      <c r="B120" s="71">
        <v>0</v>
      </c>
      <c r="C120" s="48">
        <v>0</v>
      </c>
      <c r="D120" s="48">
        <v>0</v>
      </c>
      <c r="E120" s="48">
        <v>0</v>
      </c>
      <c r="F120" s="48">
        <v>0</v>
      </c>
      <c r="G120" s="48">
        <v>0</v>
      </c>
      <c r="H120" s="48">
        <v>0</v>
      </c>
      <c r="I120" s="48">
        <v>0</v>
      </c>
    </row>
    <row r="121" spans="2:9" ht="15.75" customHeight="1">
      <c r="B121" s="71">
        <v>0</v>
      </c>
      <c r="C121" s="48">
        <v>0</v>
      </c>
      <c r="D121" s="48">
        <v>0</v>
      </c>
      <c r="E121" s="48">
        <v>0</v>
      </c>
      <c r="F121" s="48">
        <v>0</v>
      </c>
      <c r="G121" s="48">
        <v>0</v>
      </c>
      <c r="H121" s="48">
        <v>0</v>
      </c>
      <c r="I121" s="48">
        <v>0</v>
      </c>
    </row>
    <row r="122" spans="2:9" ht="15.75" customHeight="1">
      <c r="B122" s="71">
        <v>0</v>
      </c>
      <c r="C122" s="48">
        <v>0</v>
      </c>
      <c r="D122" s="48">
        <v>0</v>
      </c>
      <c r="E122" s="48">
        <v>0</v>
      </c>
      <c r="F122" s="48">
        <v>0</v>
      </c>
      <c r="G122" s="48">
        <v>0</v>
      </c>
      <c r="H122" s="48">
        <v>0</v>
      </c>
      <c r="I122" s="48">
        <v>0</v>
      </c>
    </row>
    <row r="123" spans="2:9" ht="15.75" customHeight="1">
      <c r="B123" s="71">
        <v>0</v>
      </c>
      <c r="C123" s="48">
        <v>0</v>
      </c>
      <c r="D123" s="48">
        <v>0</v>
      </c>
      <c r="E123" s="48">
        <v>0</v>
      </c>
      <c r="F123" s="48">
        <v>0</v>
      </c>
      <c r="G123" s="48">
        <v>0</v>
      </c>
      <c r="H123" s="48">
        <v>0</v>
      </c>
      <c r="I123" s="48">
        <v>0</v>
      </c>
    </row>
    <row r="124" spans="2:9" ht="15.75" customHeight="1">
      <c r="B124" s="71">
        <v>0</v>
      </c>
      <c r="C124" s="48">
        <v>0</v>
      </c>
      <c r="D124" s="48">
        <v>0</v>
      </c>
      <c r="E124" s="48">
        <v>0</v>
      </c>
      <c r="F124" s="48">
        <v>0</v>
      </c>
      <c r="G124" s="48">
        <v>0</v>
      </c>
      <c r="H124" s="48">
        <v>0</v>
      </c>
      <c r="I124" s="48">
        <v>0</v>
      </c>
    </row>
    <row r="125" spans="2:9" ht="15.75" customHeight="1">
      <c r="B125" s="71">
        <v>0</v>
      </c>
      <c r="C125" s="48">
        <v>0</v>
      </c>
      <c r="D125" s="48">
        <v>0</v>
      </c>
      <c r="E125" s="48">
        <v>0</v>
      </c>
      <c r="F125" s="48">
        <v>0</v>
      </c>
      <c r="G125" s="48">
        <v>0</v>
      </c>
      <c r="H125" s="48">
        <v>0</v>
      </c>
      <c r="I125" s="48">
        <v>0</v>
      </c>
    </row>
    <row r="126" spans="2:9" ht="15.75" customHeight="1">
      <c r="B126" s="71">
        <v>0</v>
      </c>
      <c r="C126" s="48">
        <v>0</v>
      </c>
      <c r="D126" s="48">
        <v>0</v>
      </c>
      <c r="E126" s="48">
        <v>0</v>
      </c>
      <c r="F126" s="48">
        <v>0</v>
      </c>
      <c r="G126" s="48">
        <v>0</v>
      </c>
      <c r="H126" s="48">
        <v>0</v>
      </c>
      <c r="I126" s="48">
        <v>0</v>
      </c>
    </row>
    <row r="127" spans="2:9" ht="15.75" customHeight="1">
      <c r="B127" s="71">
        <v>0</v>
      </c>
      <c r="C127" s="48">
        <v>0</v>
      </c>
      <c r="D127" s="48">
        <v>0</v>
      </c>
      <c r="E127" s="48">
        <v>0</v>
      </c>
      <c r="F127" s="48">
        <v>0</v>
      </c>
      <c r="G127" s="48">
        <v>0</v>
      </c>
      <c r="H127" s="48">
        <v>0</v>
      </c>
      <c r="I127" s="48">
        <v>0</v>
      </c>
    </row>
    <row r="128" spans="2:9" ht="15.75" customHeight="1">
      <c r="B128" s="71">
        <v>0</v>
      </c>
      <c r="C128" s="48">
        <v>0</v>
      </c>
      <c r="D128" s="48">
        <v>0</v>
      </c>
      <c r="E128" s="48">
        <v>0</v>
      </c>
      <c r="F128" s="48">
        <v>0</v>
      </c>
      <c r="G128" s="48">
        <v>0</v>
      </c>
      <c r="H128" s="48">
        <v>0</v>
      </c>
      <c r="I128" s="48">
        <v>0</v>
      </c>
    </row>
    <row r="129" spans="2:9" ht="15.75" customHeight="1">
      <c r="B129" s="71">
        <v>0</v>
      </c>
      <c r="C129" s="48">
        <v>0</v>
      </c>
      <c r="D129" s="48">
        <v>0</v>
      </c>
      <c r="E129" s="48">
        <v>0</v>
      </c>
      <c r="F129" s="48">
        <v>0</v>
      </c>
      <c r="G129" s="48">
        <v>0</v>
      </c>
      <c r="H129" s="48">
        <v>0</v>
      </c>
      <c r="I129" s="48">
        <v>0</v>
      </c>
    </row>
    <row r="130" spans="2:9" ht="15.75" customHeight="1">
      <c r="B130" s="71">
        <v>0</v>
      </c>
      <c r="C130" s="48">
        <v>0</v>
      </c>
      <c r="D130" s="48">
        <v>0</v>
      </c>
      <c r="E130" s="48">
        <v>0</v>
      </c>
      <c r="F130" s="48">
        <v>0</v>
      </c>
      <c r="G130" s="48">
        <v>0</v>
      </c>
      <c r="H130" s="48">
        <v>0</v>
      </c>
      <c r="I130" s="48">
        <v>0</v>
      </c>
    </row>
    <row r="131" spans="2:9" ht="15.75" customHeight="1">
      <c r="B131" s="71">
        <v>0</v>
      </c>
      <c r="C131" s="48">
        <v>0</v>
      </c>
      <c r="D131" s="48">
        <v>0</v>
      </c>
      <c r="E131" s="48">
        <v>0</v>
      </c>
      <c r="F131" s="48">
        <v>0</v>
      </c>
      <c r="G131" s="48">
        <v>0</v>
      </c>
      <c r="H131" s="48">
        <v>0</v>
      </c>
      <c r="I131" s="48">
        <v>0</v>
      </c>
    </row>
    <row r="132" spans="2:9" ht="15.75" customHeight="1">
      <c r="B132" s="71">
        <v>0</v>
      </c>
      <c r="C132" s="48">
        <v>0</v>
      </c>
      <c r="D132" s="48">
        <v>0</v>
      </c>
      <c r="E132" s="48">
        <v>0</v>
      </c>
      <c r="F132" s="48">
        <v>0</v>
      </c>
      <c r="G132" s="48">
        <v>0</v>
      </c>
      <c r="H132" s="48">
        <v>0</v>
      </c>
      <c r="I132" s="48">
        <v>0</v>
      </c>
    </row>
    <row r="133" spans="2:9" ht="15.75" customHeight="1">
      <c r="B133" s="71">
        <v>0</v>
      </c>
      <c r="C133" s="48">
        <v>0</v>
      </c>
      <c r="D133" s="48">
        <v>0</v>
      </c>
      <c r="E133" s="48">
        <v>0</v>
      </c>
      <c r="F133" s="48">
        <v>0</v>
      </c>
      <c r="G133" s="48">
        <v>0</v>
      </c>
      <c r="H133" s="48">
        <v>0</v>
      </c>
      <c r="I133" s="48">
        <v>0</v>
      </c>
    </row>
    <row r="134" spans="2:9" ht="15.75" customHeight="1">
      <c r="B134" s="71">
        <v>0</v>
      </c>
      <c r="C134" s="48">
        <v>0</v>
      </c>
      <c r="D134" s="48">
        <v>0</v>
      </c>
      <c r="E134" s="48">
        <v>0</v>
      </c>
      <c r="F134" s="48">
        <v>0</v>
      </c>
      <c r="G134" s="48">
        <v>0</v>
      </c>
      <c r="H134" s="48">
        <v>0</v>
      </c>
      <c r="I134" s="48">
        <v>0</v>
      </c>
    </row>
    <row r="135" spans="2:9" ht="15.75" customHeight="1">
      <c r="B135" s="71">
        <v>0</v>
      </c>
      <c r="C135" s="48">
        <v>0</v>
      </c>
      <c r="D135" s="48">
        <v>0</v>
      </c>
      <c r="E135" s="48">
        <v>0</v>
      </c>
      <c r="F135" s="48">
        <v>0</v>
      </c>
      <c r="G135" s="48">
        <v>0</v>
      </c>
      <c r="H135" s="48">
        <v>0</v>
      </c>
      <c r="I135" s="48">
        <v>0</v>
      </c>
    </row>
    <row r="136" spans="2:9" ht="15.75" customHeight="1">
      <c r="B136" s="71">
        <v>0</v>
      </c>
      <c r="C136" s="48">
        <v>0</v>
      </c>
      <c r="D136" s="48">
        <v>0</v>
      </c>
      <c r="E136" s="48">
        <v>0</v>
      </c>
      <c r="F136" s="48">
        <v>0</v>
      </c>
      <c r="G136" s="48">
        <v>0</v>
      </c>
      <c r="H136" s="48">
        <v>0</v>
      </c>
      <c r="I136" s="48">
        <v>0</v>
      </c>
    </row>
    <row r="137" spans="2:9" ht="15.75" customHeight="1">
      <c r="B137" s="71">
        <v>0</v>
      </c>
      <c r="C137" s="48">
        <v>0</v>
      </c>
      <c r="D137" s="48">
        <v>0</v>
      </c>
      <c r="E137" s="48">
        <v>0</v>
      </c>
      <c r="F137" s="48">
        <v>0</v>
      </c>
      <c r="G137" s="48">
        <v>0</v>
      </c>
      <c r="H137" s="48">
        <v>0</v>
      </c>
      <c r="I137" s="48">
        <v>0</v>
      </c>
    </row>
    <row r="138" spans="2:9" ht="15.75" customHeight="1">
      <c r="B138" s="71">
        <v>0</v>
      </c>
      <c r="C138" s="48">
        <v>0</v>
      </c>
      <c r="D138" s="48">
        <v>0</v>
      </c>
      <c r="E138" s="48">
        <v>0</v>
      </c>
      <c r="F138" s="48">
        <v>0</v>
      </c>
      <c r="G138" s="48">
        <v>0</v>
      </c>
      <c r="H138" s="48">
        <v>0</v>
      </c>
      <c r="I138" s="48">
        <v>0</v>
      </c>
    </row>
    <row r="139" spans="2:9" ht="15.75" customHeight="1">
      <c r="B139" s="71">
        <v>0</v>
      </c>
      <c r="C139" s="48">
        <v>0</v>
      </c>
      <c r="D139" s="48">
        <v>0</v>
      </c>
      <c r="E139" s="48">
        <v>0</v>
      </c>
      <c r="F139" s="48">
        <v>0</v>
      </c>
      <c r="G139" s="48">
        <v>0</v>
      </c>
      <c r="H139" s="48">
        <v>0</v>
      </c>
      <c r="I139" s="48">
        <v>0</v>
      </c>
    </row>
    <row r="140" spans="2:9" ht="15.75" customHeight="1">
      <c r="B140" s="71">
        <v>0</v>
      </c>
      <c r="C140" s="48">
        <v>0</v>
      </c>
      <c r="D140" s="48">
        <v>0</v>
      </c>
      <c r="E140" s="48">
        <v>0</v>
      </c>
      <c r="F140" s="48">
        <v>0</v>
      </c>
      <c r="G140" s="48">
        <v>0</v>
      </c>
      <c r="H140" s="48">
        <v>0</v>
      </c>
      <c r="I140" s="48">
        <v>0</v>
      </c>
    </row>
    <row r="141" spans="2:9" ht="15.75" customHeight="1">
      <c r="B141" s="71">
        <v>0</v>
      </c>
      <c r="C141" s="48">
        <v>0</v>
      </c>
      <c r="D141" s="48">
        <v>0</v>
      </c>
      <c r="E141" s="48">
        <v>0</v>
      </c>
      <c r="F141" s="48">
        <v>0</v>
      </c>
      <c r="G141" s="48">
        <v>0</v>
      </c>
      <c r="H141" s="48">
        <v>0</v>
      </c>
      <c r="I141" s="48">
        <v>0</v>
      </c>
    </row>
    <row r="142" spans="2:9" ht="15.75" customHeight="1">
      <c r="B142" s="71">
        <v>0</v>
      </c>
      <c r="C142" s="48">
        <v>0</v>
      </c>
      <c r="D142" s="48">
        <v>0</v>
      </c>
      <c r="E142" s="48">
        <v>0</v>
      </c>
      <c r="F142" s="48">
        <v>0</v>
      </c>
      <c r="G142" s="48">
        <v>0</v>
      </c>
      <c r="H142" s="48">
        <v>0</v>
      </c>
      <c r="I142" s="48">
        <v>0</v>
      </c>
    </row>
    <row r="143" spans="2:9" ht="15.75" customHeight="1">
      <c r="B143" s="71">
        <v>0</v>
      </c>
      <c r="C143" s="48">
        <v>0</v>
      </c>
      <c r="D143" s="48">
        <v>0</v>
      </c>
      <c r="E143" s="48">
        <v>0</v>
      </c>
      <c r="F143" s="48">
        <v>0</v>
      </c>
      <c r="G143" s="48">
        <v>0</v>
      </c>
      <c r="H143" s="48">
        <v>0</v>
      </c>
      <c r="I143" s="48">
        <v>0</v>
      </c>
    </row>
    <row r="144" spans="2:9" ht="15.75" customHeight="1">
      <c r="B144" s="71">
        <v>0</v>
      </c>
      <c r="C144" s="48">
        <v>0</v>
      </c>
      <c r="D144" s="48">
        <v>0</v>
      </c>
      <c r="E144" s="48">
        <v>0</v>
      </c>
      <c r="F144" s="48">
        <v>0</v>
      </c>
      <c r="G144" s="48">
        <v>0</v>
      </c>
      <c r="H144" s="48">
        <v>0</v>
      </c>
      <c r="I144" s="48">
        <v>0</v>
      </c>
    </row>
    <row r="145" spans="2:9" ht="15.75" customHeight="1">
      <c r="B145" s="71">
        <v>0</v>
      </c>
      <c r="C145" s="48">
        <v>0</v>
      </c>
      <c r="D145" s="48">
        <v>0</v>
      </c>
      <c r="E145" s="48">
        <v>0</v>
      </c>
      <c r="F145" s="48">
        <v>0</v>
      </c>
      <c r="G145" s="48">
        <v>0</v>
      </c>
      <c r="H145" s="48">
        <v>0</v>
      </c>
      <c r="I145" s="48">
        <v>0</v>
      </c>
    </row>
    <row r="146" spans="2:9" ht="15.75" customHeight="1">
      <c r="B146" s="71">
        <v>0</v>
      </c>
      <c r="C146" s="48">
        <v>0</v>
      </c>
      <c r="D146" s="48">
        <v>0</v>
      </c>
      <c r="E146" s="48">
        <v>0</v>
      </c>
      <c r="F146" s="48">
        <v>0</v>
      </c>
      <c r="G146" s="48">
        <v>0</v>
      </c>
      <c r="H146" s="48">
        <v>0</v>
      </c>
      <c r="I146" s="48">
        <v>0</v>
      </c>
    </row>
    <row r="147" spans="2:9" ht="15.75" customHeight="1">
      <c r="B147" s="71">
        <v>0</v>
      </c>
      <c r="C147" s="48">
        <v>0</v>
      </c>
      <c r="D147" s="48">
        <v>0</v>
      </c>
      <c r="E147" s="48">
        <v>0</v>
      </c>
      <c r="F147" s="48">
        <v>0</v>
      </c>
      <c r="G147" s="48">
        <v>0</v>
      </c>
      <c r="H147" s="48">
        <v>0</v>
      </c>
      <c r="I147" s="48">
        <v>0</v>
      </c>
    </row>
    <row r="148" spans="2:9" ht="15.75" customHeight="1">
      <c r="B148" s="71">
        <v>0</v>
      </c>
      <c r="C148" s="48">
        <v>0</v>
      </c>
      <c r="D148" s="48">
        <v>0</v>
      </c>
      <c r="E148" s="48">
        <v>0</v>
      </c>
      <c r="F148" s="48">
        <v>0</v>
      </c>
      <c r="G148" s="48">
        <v>0</v>
      </c>
      <c r="H148" s="48">
        <v>0</v>
      </c>
      <c r="I148" s="48">
        <v>0</v>
      </c>
    </row>
    <row r="149" spans="2:9" ht="15.75" customHeight="1">
      <c r="B149" s="71">
        <v>0</v>
      </c>
      <c r="C149" s="48">
        <v>0</v>
      </c>
      <c r="D149" s="48">
        <v>0</v>
      </c>
      <c r="E149" s="48">
        <v>0</v>
      </c>
      <c r="F149" s="48">
        <v>0</v>
      </c>
      <c r="G149" s="48">
        <v>0</v>
      </c>
      <c r="H149" s="48">
        <v>0</v>
      </c>
      <c r="I149" s="48">
        <v>0</v>
      </c>
    </row>
    <row r="150" spans="2:9" ht="15.75" customHeight="1">
      <c r="B150" s="71">
        <v>0</v>
      </c>
      <c r="C150" s="48">
        <v>0</v>
      </c>
      <c r="D150" s="48">
        <v>0</v>
      </c>
      <c r="E150" s="48">
        <v>0</v>
      </c>
      <c r="F150" s="48">
        <v>0</v>
      </c>
      <c r="G150" s="48">
        <v>0</v>
      </c>
      <c r="H150" s="48">
        <v>0</v>
      </c>
      <c r="I150" s="48">
        <v>0</v>
      </c>
    </row>
    <row r="151" spans="2:9" ht="15.75" customHeight="1">
      <c r="B151" s="71">
        <v>0</v>
      </c>
      <c r="C151" s="48">
        <v>0</v>
      </c>
      <c r="D151" s="48">
        <v>0</v>
      </c>
      <c r="E151" s="48">
        <v>0</v>
      </c>
      <c r="F151" s="48">
        <v>0</v>
      </c>
      <c r="G151" s="48">
        <v>0</v>
      </c>
      <c r="H151" s="48">
        <v>0</v>
      </c>
      <c r="I151" s="48">
        <v>0</v>
      </c>
    </row>
    <row r="152" spans="2:9" ht="15.75" customHeight="1">
      <c r="B152" s="71">
        <v>0</v>
      </c>
      <c r="C152" s="48">
        <v>0</v>
      </c>
      <c r="D152" s="48">
        <v>0</v>
      </c>
      <c r="E152" s="48">
        <v>0</v>
      </c>
      <c r="F152" s="48">
        <v>0</v>
      </c>
      <c r="G152" s="48">
        <v>0</v>
      </c>
      <c r="H152" s="48">
        <v>0</v>
      </c>
      <c r="I152" s="48">
        <v>0</v>
      </c>
    </row>
    <row r="153" spans="2:9" ht="15.75" customHeight="1">
      <c r="B153" s="71">
        <v>0</v>
      </c>
      <c r="C153" s="48">
        <v>0</v>
      </c>
      <c r="D153" s="48">
        <v>0</v>
      </c>
      <c r="E153" s="48">
        <v>0</v>
      </c>
      <c r="F153" s="48">
        <v>0</v>
      </c>
      <c r="G153" s="48">
        <v>0</v>
      </c>
      <c r="H153" s="48">
        <v>0</v>
      </c>
      <c r="I153" s="48">
        <v>0</v>
      </c>
    </row>
    <row r="154" spans="2:9" ht="15.75" customHeight="1">
      <c r="B154" s="71">
        <v>0</v>
      </c>
      <c r="C154" s="48">
        <v>0</v>
      </c>
      <c r="D154" s="48">
        <v>0</v>
      </c>
      <c r="E154" s="48">
        <v>0</v>
      </c>
      <c r="F154" s="48">
        <v>0</v>
      </c>
      <c r="G154" s="48">
        <v>0</v>
      </c>
      <c r="H154" s="48">
        <v>0</v>
      </c>
      <c r="I154" s="48">
        <v>0</v>
      </c>
    </row>
    <row r="155" spans="2:9" ht="15.75" customHeight="1">
      <c r="B155" s="71">
        <v>0</v>
      </c>
      <c r="C155" s="48">
        <v>0</v>
      </c>
      <c r="D155" s="48">
        <v>0</v>
      </c>
      <c r="E155" s="48">
        <v>0</v>
      </c>
      <c r="F155" s="48">
        <v>0</v>
      </c>
      <c r="G155" s="48">
        <v>0</v>
      </c>
      <c r="H155" s="48">
        <v>0</v>
      </c>
      <c r="I155" s="48">
        <v>0</v>
      </c>
    </row>
    <row r="156" spans="2:9" ht="15.75" customHeight="1">
      <c r="B156" s="71">
        <v>0</v>
      </c>
      <c r="C156" s="48">
        <v>0</v>
      </c>
      <c r="D156" s="48">
        <v>0</v>
      </c>
      <c r="E156" s="48">
        <v>0</v>
      </c>
      <c r="F156" s="48">
        <v>0</v>
      </c>
      <c r="G156" s="48">
        <v>0</v>
      </c>
      <c r="H156" s="48">
        <v>0</v>
      </c>
      <c r="I156" s="48">
        <v>0</v>
      </c>
    </row>
    <row r="157" spans="2:9" ht="15.75" customHeight="1">
      <c r="B157" s="71">
        <v>0</v>
      </c>
      <c r="C157" s="48">
        <v>0</v>
      </c>
      <c r="D157" s="48">
        <v>0</v>
      </c>
      <c r="E157" s="48">
        <v>0</v>
      </c>
      <c r="F157" s="48">
        <v>0</v>
      </c>
      <c r="G157" s="48">
        <v>0</v>
      </c>
      <c r="H157" s="48">
        <v>0</v>
      </c>
      <c r="I157" s="48">
        <v>0</v>
      </c>
    </row>
    <row r="158" spans="2:9" ht="15.75" customHeight="1">
      <c r="B158" s="71">
        <v>0</v>
      </c>
      <c r="C158" s="48">
        <v>0</v>
      </c>
      <c r="D158" s="48">
        <v>0</v>
      </c>
      <c r="E158" s="48">
        <v>0</v>
      </c>
      <c r="F158" s="48">
        <v>0</v>
      </c>
      <c r="G158" s="48">
        <v>0</v>
      </c>
      <c r="H158" s="48">
        <v>0</v>
      </c>
      <c r="I158" s="48">
        <v>0</v>
      </c>
    </row>
    <row r="159" spans="2:9" ht="15.75" customHeight="1">
      <c r="B159" s="71">
        <v>0</v>
      </c>
      <c r="C159" s="48">
        <v>0</v>
      </c>
      <c r="D159" s="48">
        <v>0</v>
      </c>
      <c r="E159" s="48">
        <v>0</v>
      </c>
      <c r="F159" s="48">
        <v>0</v>
      </c>
      <c r="G159" s="48">
        <v>0</v>
      </c>
      <c r="H159" s="48">
        <v>0</v>
      </c>
      <c r="I159" s="48">
        <v>0</v>
      </c>
    </row>
    <row r="160" spans="2:9" ht="15.75" customHeight="1">
      <c r="B160" s="71">
        <v>0</v>
      </c>
      <c r="C160" s="48">
        <v>0</v>
      </c>
      <c r="D160" s="48">
        <v>0</v>
      </c>
      <c r="E160" s="48">
        <v>0</v>
      </c>
      <c r="F160" s="48">
        <v>0</v>
      </c>
      <c r="G160" s="48">
        <v>0</v>
      </c>
      <c r="H160" s="48">
        <v>0</v>
      </c>
      <c r="I160" s="48">
        <v>0</v>
      </c>
    </row>
    <row r="161" spans="2:9" ht="15.75" customHeight="1">
      <c r="B161" s="71">
        <v>0</v>
      </c>
      <c r="C161" s="48">
        <v>0</v>
      </c>
      <c r="D161" s="48">
        <v>0</v>
      </c>
      <c r="E161" s="48">
        <v>0</v>
      </c>
      <c r="F161" s="48">
        <v>0</v>
      </c>
      <c r="G161" s="48">
        <v>0</v>
      </c>
      <c r="H161" s="48">
        <v>0</v>
      </c>
      <c r="I161" s="48">
        <v>0</v>
      </c>
    </row>
    <row r="162" spans="2:9" ht="15.75" customHeight="1">
      <c r="B162" s="71">
        <v>0</v>
      </c>
      <c r="C162" s="48">
        <v>0</v>
      </c>
      <c r="D162" s="48">
        <v>0</v>
      </c>
      <c r="E162" s="48">
        <v>0</v>
      </c>
      <c r="F162" s="48">
        <v>0</v>
      </c>
      <c r="G162" s="48">
        <v>0</v>
      </c>
      <c r="H162" s="48">
        <v>0</v>
      </c>
      <c r="I162" s="48">
        <v>0</v>
      </c>
    </row>
    <row r="163" spans="2:9" ht="15.75" customHeight="1">
      <c r="B163" s="71">
        <v>0</v>
      </c>
      <c r="C163" s="48">
        <v>0</v>
      </c>
      <c r="D163" s="48">
        <v>0</v>
      </c>
      <c r="E163" s="48">
        <v>0</v>
      </c>
      <c r="F163" s="48">
        <v>0</v>
      </c>
      <c r="G163" s="48">
        <v>0</v>
      </c>
      <c r="H163" s="48">
        <v>0</v>
      </c>
      <c r="I163" s="48">
        <v>0</v>
      </c>
    </row>
    <row r="164" spans="2:9" ht="15.75" customHeight="1">
      <c r="B164" s="71">
        <v>0</v>
      </c>
      <c r="C164" s="48">
        <v>0</v>
      </c>
      <c r="D164" s="48">
        <v>0</v>
      </c>
      <c r="E164" s="48">
        <v>0</v>
      </c>
      <c r="F164" s="48">
        <v>0</v>
      </c>
      <c r="G164" s="48">
        <v>0</v>
      </c>
      <c r="H164" s="48">
        <v>0</v>
      </c>
      <c r="I164" s="48">
        <v>0</v>
      </c>
    </row>
    <row r="165" spans="2:9" ht="15.75" customHeight="1">
      <c r="B165" s="71">
        <v>0</v>
      </c>
      <c r="C165" s="48">
        <v>0</v>
      </c>
      <c r="D165" s="48">
        <v>0</v>
      </c>
      <c r="E165" s="48">
        <v>0</v>
      </c>
      <c r="F165" s="48">
        <v>0</v>
      </c>
      <c r="G165" s="48">
        <v>0</v>
      </c>
      <c r="H165" s="48">
        <v>0</v>
      </c>
      <c r="I165" s="48">
        <v>0</v>
      </c>
    </row>
    <row r="166" spans="2:9" ht="15.75" customHeight="1">
      <c r="B166" s="71">
        <v>0</v>
      </c>
      <c r="C166" s="48">
        <v>0</v>
      </c>
      <c r="D166" s="48">
        <v>0</v>
      </c>
      <c r="E166" s="48">
        <v>0</v>
      </c>
      <c r="F166" s="48">
        <v>0</v>
      </c>
      <c r="G166" s="48">
        <v>0</v>
      </c>
      <c r="H166" s="48">
        <v>0</v>
      </c>
      <c r="I166" s="48">
        <v>0</v>
      </c>
    </row>
    <row r="167" spans="2:9" ht="15.75" customHeight="1">
      <c r="B167" s="71">
        <v>0</v>
      </c>
      <c r="C167" s="48">
        <v>0</v>
      </c>
      <c r="D167" s="48">
        <v>0</v>
      </c>
      <c r="E167" s="48">
        <v>0</v>
      </c>
      <c r="F167" s="48">
        <v>0</v>
      </c>
      <c r="G167" s="48">
        <v>0</v>
      </c>
      <c r="H167" s="48">
        <v>0</v>
      </c>
      <c r="I167" s="48">
        <v>0</v>
      </c>
    </row>
    <row r="168" spans="2:9" ht="15.75" customHeight="1">
      <c r="B168" s="71">
        <v>0</v>
      </c>
      <c r="C168" s="48">
        <v>0</v>
      </c>
      <c r="D168" s="48">
        <v>0</v>
      </c>
      <c r="E168" s="48">
        <v>0</v>
      </c>
      <c r="F168" s="48">
        <v>0</v>
      </c>
      <c r="G168" s="48">
        <v>0</v>
      </c>
      <c r="H168" s="48">
        <v>0</v>
      </c>
      <c r="I168" s="48">
        <v>0</v>
      </c>
    </row>
    <row r="169" spans="2:9" ht="15.75" customHeight="1">
      <c r="B169" s="71">
        <v>0</v>
      </c>
      <c r="C169" s="48">
        <v>0</v>
      </c>
      <c r="D169" s="48">
        <v>0</v>
      </c>
      <c r="E169" s="48">
        <v>0</v>
      </c>
      <c r="F169" s="48">
        <v>0</v>
      </c>
      <c r="G169" s="48">
        <v>0</v>
      </c>
      <c r="H169" s="48">
        <v>0</v>
      </c>
      <c r="I169" s="48">
        <v>0</v>
      </c>
    </row>
    <row r="170" spans="2:9" ht="15.75" customHeight="1">
      <c r="B170" s="71">
        <v>0</v>
      </c>
      <c r="C170" s="48">
        <v>0</v>
      </c>
      <c r="D170" s="48">
        <v>0</v>
      </c>
      <c r="E170" s="48">
        <v>0</v>
      </c>
      <c r="F170" s="48">
        <v>0</v>
      </c>
      <c r="G170" s="48">
        <v>0</v>
      </c>
      <c r="H170" s="48">
        <v>0</v>
      </c>
      <c r="I170" s="48">
        <v>0</v>
      </c>
    </row>
    <row r="171" spans="2:9" ht="15.75" customHeight="1">
      <c r="B171" s="71">
        <v>0</v>
      </c>
      <c r="C171" s="48">
        <v>0</v>
      </c>
      <c r="D171" s="48">
        <v>0</v>
      </c>
      <c r="E171" s="48">
        <v>0</v>
      </c>
      <c r="F171" s="48">
        <v>0</v>
      </c>
      <c r="G171" s="48">
        <v>0</v>
      </c>
      <c r="H171" s="48">
        <v>0</v>
      </c>
      <c r="I171" s="48">
        <v>0</v>
      </c>
    </row>
    <row r="172" spans="2:9" ht="15.75" customHeight="1">
      <c r="B172" s="71">
        <v>0</v>
      </c>
      <c r="C172" s="48">
        <v>0</v>
      </c>
      <c r="D172" s="48">
        <v>0</v>
      </c>
      <c r="E172" s="48">
        <v>0</v>
      </c>
      <c r="F172" s="48">
        <v>0</v>
      </c>
      <c r="G172" s="48">
        <v>0</v>
      </c>
      <c r="H172" s="48">
        <v>0</v>
      </c>
      <c r="I172" s="48">
        <v>0</v>
      </c>
    </row>
    <row r="173" spans="2:9" ht="15.75" customHeight="1">
      <c r="B173" s="71">
        <v>0</v>
      </c>
      <c r="C173" s="48">
        <v>0</v>
      </c>
      <c r="D173" s="48">
        <v>0</v>
      </c>
      <c r="E173" s="48">
        <v>0</v>
      </c>
      <c r="F173" s="48">
        <v>0</v>
      </c>
      <c r="G173" s="48">
        <v>0</v>
      </c>
      <c r="H173" s="48">
        <v>0</v>
      </c>
      <c r="I173" s="48">
        <v>0</v>
      </c>
    </row>
    <row r="174" spans="2:9" ht="15.75" customHeight="1">
      <c r="B174" s="71">
        <v>0</v>
      </c>
      <c r="C174" s="48">
        <v>0</v>
      </c>
      <c r="D174" s="48">
        <v>0</v>
      </c>
      <c r="E174" s="48">
        <v>0</v>
      </c>
      <c r="F174" s="48">
        <v>0</v>
      </c>
      <c r="G174" s="48">
        <v>0</v>
      </c>
      <c r="H174" s="48">
        <v>0</v>
      </c>
      <c r="I174" s="48">
        <v>0</v>
      </c>
    </row>
    <row r="175" spans="2:9" ht="15.75" customHeight="1">
      <c r="B175" s="71">
        <v>0</v>
      </c>
      <c r="C175" s="48">
        <v>0</v>
      </c>
      <c r="D175" s="48">
        <v>0</v>
      </c>
      <c r="E175" s="48">
        <v>0</v>
      </c>
      <c r="F175" s="48">
        <v>0</v>
      </c>
      <c r="G175" s="48">
        <v>0</v>
      </c>
      <c r="H175" s="48">
        <v>0</v>
      </c>
      <c r="I175" s="48">
        <v>0</v>
      </c>
    </row>
    <row r="176" spans="2:9" ht="15.75" customHeight="1">
      <c r="B176" s="71">
        <v>0</v>
      </c>
      <c r="C176" s="48">
        <v>0</v>
      </c>
      <c r="D176" s="48">
        <v>0</v>
      </c>
      <c r="E176" s="48">
        <v>0</v>
      </c>
      <c r="F176" s="48">
        <v>0</v>
      </c>
      <c r="G176" s="48">
        <v>0</v>
      </c>
      <c r="H176" s="48">
        <v>0</v>
      </c>
      <c r="I176" s="48">
        <v>0</v>
      </c>
    </row>
    <row r="177" spans="2:9" ht="15.75" customHeight="1">
      <c r="B177" s="71">
        <v>0</v>
      </c>
      <c r="C177" s="48">
        <v>0</v>
      </c>
      <c r="D177" s="48">
        <v>0</v>
      </c>
      <c r="E177" s="48">
        <v>0</v>
      </c>
      <c r="F177" s="48">
        <v>0</v>
      </c>
      <c r="G177" s="48">
        <v>0</v>
      </c>
      <c r="H177" s="48">
        <v>0</v>
      </c>
      <c r="I177" s="48">
        <v>0</v>
      </c>
    </row>
    <row r="178" spans="2:9" ht="15.75" customHeight="1">
      <c r="B178" s="71">
        <v>0</v>
      </c>
      <c r="C178" s="48">
        <v>0</v>
      </c>
      <c r="D178" s="48">
        <v>0</v>
      </c>
      <c r="E178" s="48">
        <v>0</v>
      </c>
      <c r="F178" s="48">
        <v>0</v>
      </c>
      <c r="G178" s="48">
        <v>0</v>
      </c>
      <c r="H178" s="48">
        <v>0</v>
      </c>
      <c r="I178" s="48">
        <v>0</v>
      </c>
    </row>
    <row r="179" spans="2:9" ht="15.75" customHeight="1">
      <c r="B179" s="71">
        <v>0</v>
      </c>
      <c r="C179" s="48">
        <v>0</v>
      </c>
      <c r="D179" s="48">
        <v>0</v>
      </c>
      <c r="E179" s="48">
        <v>0</v>
      </c>
      <c r="F179" s="48">
        <v>0</v>
      </c>
      <c r="G179" s="48">
        <v>0</v>
      </c>
      <c r="H179" s="48">
        <v>0</v>
      </c>
      <c r="I179" s="48">
        <v>0</v>
      </c>
    </row>
    <row r="180" spans="2:9" ht="15.75" customHeight="1">
      <c r="B180" s="71">
        <v>0</v>
      </c>
      <c r="C180" s="48">
        <v>0</v>
      </c>
      <c r="D180" s="48">
        <v>0</v>
      </c>
      <c r="E180" s="48">
        <v>0</v>
      </c>
      <c r="F180" s="48">
        <v>0</v>
      </c>
      <c r="G180" s="48">
        <v>0</v>
      </c>
      <c r="H180" s="48">
        <v>0</v>
      </c>
      <c r="I180" s="48">
        <v>0</v>
      </c>
    </row>
    <row r="181" spans="2:9" ht="15.75" customHeight="1">
      <c r="B181" s="71">
        <v>0</v>
      </c>
      <c r="C181" s="48">
        <v>0</v>
      </c>
      <c r="D181" s="48">
        <v>0</v>
      </c>
      <c r="E181" s="48">
        <v>0</v>
      </c>
      <c r="F181" s="48">
        <v>0</v>
      </c>
      <c r="G181" s="48">
        <v>0</v>
      </c>
      <c r="H181" s="48">
        <v>0</v>
      </c>
      <c r="I181" s="48">
        <v>0</v>
      </c>
    </row>
    <row r="182" spans="2:9" ht="15.75" customHeight="1">
      <c r="B182" s="71">
        <v>0</v>
      </c>
      <c r="C182" s="48">
        <v>0</v>
      </c>
      <c r="D182" s="48">
        <v>0</v>
      </c>
      <c r="E182" s="48">
        <v>0</v>
      </c>
      <c r="F182" s="48">
        <v>0</v>
      </c>
      <c r="G182" s="48">
        <v>0</v>
      </c>
      <c r="H182" s="48">
        <v>0</v>
      </c>
      <c r="I182" s="48">
        <v>0</v>
      </c>
    </row>
    <row r="183" spans="2:9" ht="15.75" customHeight="1">
      <c r="B183" s="71">
        <v>0</v>
      </c>
      <c r="C183" s="48">
        <v>0</v>
      </c>
      <c r="D183" s="48">
        <v>0</v>
      </c>
      <c r="E183" s="48">
        <v>0</v>
      </c>
      <c r="F183" s="48">
        <v>0</v>
      </c>
      <c r="G183" s="48">
        <v>0</v>
      </c>
      <c r="H183" s="48">
        <v>0</v>
      </c>
      <c r="I183" s="48">
        <v>0</v>
      </c>
    </row>
    <row r="184" spans="2:9" ht="15.75" customHeight="1">
      <c r="B184" s="71">
        <v>0</v>
      </c>
      <c r="C184" s="48">
        <v>0</v>
      </c>
      <c r="D184" s="48">
        <v>0</v>
      </c>
      <c r="E184" s="48">
        <v>0</v>
      </c>
      <c r="F184" s="48">
        <v>0</v>
      </c>
      <c r="G184" s="48">
        <v>0</v>
      </c>
      <c r="H184" s="48">
        <v>0</v>
      </c>
      <c r="I184" s="48">
        <v>0</v>
      </c>
    </row>
    <row r="185" spans="2:9" ht="15.75" customHeight="1">
      <c r="B185" s="71">
        <v>0</v>
      </c>
      <c r="C185" s="48">
        <v>0</v>
      </c>
      <c r="D185" s="48">
        <v>0</v>
      </c>
      <c r="E185" s="48">
        <v>0</v>
      </c>
      <c r="F185" s="48">
        <v>0</v>
      </c>
      <c r="G185" s="48">
        <v>0</v>
      </c>
      <c r="H185" s="48">
        <v>0</v>
      </c>
      <c r="I185" s="48">
        <v>0</v>
      </c>
    </row>
    <row r="186" spans="2:9" ht="15.75" customHeight="1">
      <c r="B186" s="71">
        <v>0</v>
      </c>
      <c r="C186" s="48">
        <v>0</v>
      </c>
      <c r="D186" s="48">
        <v>0</v>
      </c>
      <c r="E186" s="48">
        <v>0</v>
      </c>
      <c r="F186" s="48">
        <v>0</v>
      </c>
      <c r="G186" s="48">
        <v>0</v>
      </c>
      <c r="H186" s="48">
        <v>0</v>
      </c>
      <c r="I186" s="48">
        <v>0</v>
      </c>
    </row>
    <row r="187" spans="2:9" ht="15.75" customHeight="1">
      <c r="B187" s="71">
        <v>0</v>
      </c>
      <c r="C187" s="48">
        <v>0</v>
      </c>
      <c r="D187" s="48">
        <v>0</v>
      </c>
      <c r="E187" s="48">
        <v>0</v>
      </c>
      <c r="F187" s="48">
        <v>0</v>
      </c>
      <c r="G187" s="48">
        <v>0</v>
      </c>
      <c r="H187" s="48">
        <v>0</v>
      </c>
      <c r="I187" s="48">
        <v>0</v>
      </c>
    </row>
    <row r="188" spans="2:9" ht="15.75" customHeight="1">
      <c r="B188" s="71">
        <v>0</v>
      </c>
      <c r="C188" s="48">
        <v>0</v>
      </c>
      <c r="D188" s="48">
        <v>0</v>
      </c>
      <c r="E188" s="48">
        <v>0</v>
      </c>
      <c r="F188" s="48">
        <v>0</v>
      </c>
      <c r="G188" s="48">
        <v>0</v>
      </c>
      <c r="H188" s="48">
        <v>0</v>
      </c>
      <c r="I188" s="48">
        <v>0</v>
      </c>
    </row>
    <row r="189" spans="2:9" ht="15.75" customHeight="1">
      <c r="B189" s="71">
        <v>0</v>
      </c>
      <c r="C189" s="48">
        <v>0</v>
      </c>
      <c r="D189" s="48">
        <v>0</v>
      </c>
      <c r="E189" s="48">
        <v>0</v>
      </c>
      <c r="F189" s="48">
        <v>0</v>
      </c>
      <c r="G189" s="48">
        <v>0</v>
      </c>
      <c r="H189" s="48">
        <v>0</v>
      </c>
      <c r="I189" s="48">
        <v>0</v>
      </c>
    </row>
    <row r="190" spans="2:9" ht="15.75" customHeight="1">
      <c r="B190" s="71">
        <v>0</v>
      </c>
      <c r="C190" s="48">
        <v>0</v>
      </c>
      <c r="D190" s="48">
        <v>0</v>
      </c>
      <c r="E190" s="48">
        <v>0</v>
      </c>
      <c r="F190" s="48">
        <v>0</v>
      </c>
      <c r="G190" s="48">
        <v>0</v>
      </c>
      <c r="H190" s="48">
        <v>0</v>
      </c>
      <c r="I190" s="48">
        <v>0</v>
      </c>
    </row>
    <row r="191" spans="2:9" ht="15.75" customHeight="1">
      <c r="B191" s="71">
        <v>0</v>
      </c>
      <c r="C191" s="48">
        <v>0</v>
      </c>
      <c r="D191" s="48">
        <v>0</v>
      </c>
      <c r="E191" s="48">
        <v>0</v>
      </c>
      <c r="F191" s="48">
        <v>0</v>
      </c>
      <c r="G191" s="48">
        <v>0</v>
      </c>
      <c r="H191" s="48">
        <v>0</v>
      </c>
      <c r="I191" s="48">
        <v>0</v>
      </c>
    </row>
    <row r="192" spans="2:9" ht="15.75" customHeight="1">
      <c r="B192" s="71">
        <v>0</v>
      </c>
      <c r="C192" s="48">
        <v>0</v>
      </c>
      <c r="D192" s="48">
        <v>0</v>
      </c>
      <c r="E192" s="48">
        <v>0</v>
      </c>
      <c r="F192" s="48">
        <v>0</v>
      </c>
      <c r="G192" s="48">
        <v>0</v>
      </c>
      <c r="H192" s="48">
        <v>0</v>
      </c>
      <c r="I192" s="48">
        <v>0</v>
      </c>
    </row>
    <row r="193" spans="2:9" ht="15.75" customHeight="1">
      <c r="B193" s="71">
        <v>0</v>
      </c>
      <c r="C193" s="48">
        <v>0</v>
      </c>
      <c r="D193" s="48">
        <v>0</v>
      </c>
      <c r="E193" s="48">
        <v>0</v>
      </c>
      <c r="F193" s="48">
        <v>0</v>
      </c>
      <c r="G193" s="48">
        <v>0</v>
      </c>
      <c r="H193" s="48">
        <v>0</v>
      </c>
      <c r="I193" s="48">
        <v>0</v>
      </c>
    </row>
    <row r="194" spans="2:9" ht="15.75" customHeight="1">
      <c r="B194" s="71">
        <v>0</v>
      </c>
      <c r="C194" s="48">
        <v>0</v>
      </c>
      <c r="D194" s="48">
        <v>0</v>
      </c>
      <c r="E194" s="48">
        <v>0</v>
      </c>
      <c r="F194" s="48">
        <v>0</v>
      </c>
      <c r="G194" s="48">
        <v>0</v>
      </c>
      <c r="H194" s="48">
        <v>0</v>
      </c>
      <c r="I194" s="48">
        <v>0</v>
      </c>
    </row>
    <row r="195" spans="2:9" ht="15.75" customHeight="1">
      <c r="B195" s="71">
        <v>0</v>
      </c>
      <c r="C195" s="48">
        <v>0</v>
      </c>
      <c r="D195" s="48">
        <v>0</v>
      </c>
      <c r="E195" s="48">
        <v>0</v>
      </c>
      <c r="F195" s="48">
        <v>0</v>
      </c>
      <c r="G195" s="48">
        <v>0</v>
      </c>
      <c r="H195" s="48">
        <v>0</v>
      </c>
      <c r="I195" s="48">
        <v>0</v>
      </c>
    </row>
    <row r="196" spans="2:9" ht="15.75" customHeight="1">
      <c r="B196" s="71">
        <v>0</v>
      </c>
      <c r="C196" s="48">
        <v>0</v>
      </c>
      <c r="D196" s="48">
        <v>0</v>
      </c>
      <c r="E196" s="48">
        <v>0</v>
      </c>
      <c r="F196" s="48">
        <v>0</v>
      </c>
      <c r="G196" s="48">
        <v>0</v>
      </c>
      <c r="H196" s="48">
        <v>0</v>
      </c>
      <c r="I196" s="48">
        <v>0</v>
      </c>
    </row>
    <row r="197" spans="2:9" ht="15.75" customHeight="1">
      <c r="B197" s="71">
        <v>0</v>
      </c>
      <c r="C197" s="48">
        <v>0</v>
      </c>
      <c r="D197" s="48">
        <v>0</v>
      </c>
      <c r="E197" s="48">
        <v>0</v>
      </c>
      <c r="F197" s="48">
        <v>0</v>
      </c>
      <c r="G197" s="48">
        <v>0</v>
      </c>
      <c r="H197" s="48">
        <v>0</v>
      </c>
      <c r="I197" s="48">
        <v>0</v>
      </c>
    </row>
    <row r="198" spans="2:9" ht="15.75" customHeight="1">
      <c r="B198" s="71">
        <v>0</v>
      </c>
      <c r="C198" s="48">
        <v>0</v>
      </c>
      <c r="D198" s="48">
        <v>0</v>
      </c>
      <c r="E198" s="48">
        <v>0</v>
      </c>
      <c r="F198" s="48">
        <v>0</v>
      </c>
      <c r="G198" s="48">
        <v>0</v>
      </c>
      <c r="H198" s="48">
        <v>0</v>
      </c>
      <c r="I198" s="48">
        <v>0</v>
      </c>
    </row>
    <row r="199" spans="2:9" ht="15.75" customHeight="1">
      <c r="B199" s="71">
        <v>0</v>
      </c>
      <c r="C199" s="48">
        <v>0</v>
      </c>
      <c r="D199" s="48">
        <v>0</v>
      </c>
      <c r="E199" s="48">
        <v>0</v>
      </c>
      <c r="F199" s="48">
        <v>0</v>
      </c>
      <c r="G199" s="48">
        <v>0</v>
      </c>
      <c r="H199" s="48">
        <v>0</v>
      </c>
      <c r="I199" s="48">
        <v>0</v>
      </c>
    </row>
    <row r="200" spans="2:9" ht="15.75" customHeight="1">
      <c r="B200" s="71">
        <v>0</v>
      </c>
      <c r="C200" s="48">
        <v>0</v>
      </c>
      <c r="D200" s="48">
        <v>0</v>
      </c>
      <c r="E200" s="48">
        <v>0</v>
      </c>
      <c r="F200" s="48">
        <v>0</v>
      </c>
      <c r="G200" s="48">
        <v>0</v>
      </c>
      <c r="H200" s="48">
        <v>0</v>
      </c>
      <c r="I200" s="48">
        <v>0</v>
      </c>
    </row>
    <row r="201" spans="2:9" ht="15.75" customHeight="1">
      <c r="B201" s="71">
        <v>0</v>
      </c>
      <c r="C201" s="48">
        <v>0</v>
      </c>
      <c r="D201" s="48">
        <v>0</v>
      </c>
      <c r="E201" s="48">
        <v>0</v>
      </c>
      <c r="F201" s="48">
        <v>0</v>
      </c>
      <c r="G201" s="48">
        <v>0</v>
      </c>
      <c r="H201" s="48">
        <v>0</v>
      </c>
      <c r="I201" s="48">
        <v>0</v>
      </c>
    </row>
    <row r="202" spans="2:9" ht="15.75" customHeight="1">
      <c r="B202" s="71">
        <v>0</v>
      </c>
      <c r="C202" s="48">
        <v>0</v>
      </c>
      <c r="D202" s="48">
        <v>0</v>
      </c>
      <c r="E202" s="48">
        <v>0</v>
      </c>
      <c r="F202" s="48">
        <v>0</v>
      </c>
      <c r="G202" s="48">
        <v>0</v>
      </c>
      <c r="H202" s="48">
        <v>0</v>
      </c>
      <c r="I202" s="48">
        <v>0</v>
      </c>
    </row>
    <row r="203" spans="2:9" ht="15.75" customHeight="1">
      <c r="B203" s="71">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59"/>
  <sheetViews>
    <sheetView tabSelected="1" topLeftCell="A4" workbookViewId="0">
      <selection activeCell="E24" sqref="E24"/>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4" t="s">
        <v>44</v>
      </c>
      <c r="B1" s="124"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5" t="s">
        <v>364</v>
      </c>
      <c r="R1" s="126" t="s">
        <v>373</v>
      </c>
      <c r="S1" s="126"/>
      <c r="T1" s="126"/>
      <c r="U1" s="129" t="s">
        <v>374</v>
      </c>
      <c r="V1" s="129"/>
      <c r="W1" s="129"/>
      <c r="X1" s="129" t="s">
        <v>374</v>
      </c>
      <c r="Y1" s="129"/>
      <c r="Z1" s="129"/>
      <c r="AA1" s="79" t="s">
        <v>374</v>
      </c>
    </row>
    <row r="2" spans="1:28" ht="17">
      <c r="A2" s="124"/>
      <c r="B2" s="124"/>
      <c r="C2" s="124" t="s">
        <v>60</v>
      </c>
      <c r="D2" s="124" t="s">
        <v>61</v>
      </c>
      <c r="E2" s="124" t="s">
        <v>62</v>
      </c>
      <c r="F2" s="124" t="s">
        <v>63</v>
      </c>
      <c r="G2" s="124" t="s">
        <v>64</v>
      </c>
      <c r="H2" s="124" t="s">
        <v>65</v>
      </c>
      <c r="I2" s="124" t="s">
        <v>66</v>
      </c>
      <c r="J2" s="54" t="s">
        <v>67</v>
      </c>
      <c r="K2" s="54" t="s">
        <v>89</v>
      </c>
      <c r="L2" s="124" t="s">
        <v>69</v>
      </c>
      <c r="M2" s="124" t="s">
        <v>70</v>
      </c>
      <c r="N2" s="124" t="s">
        <v>71</v>
      </c>
      <c r="O2" s="124" t="s">
        <v>72</v>
      </c>
      <c r="P2" s="124" t="s">
        <v>73</v>
      </c>
      <c r="Q2" s="125"/>
      <c r="R2" s="127" t="s">
        <v>369</v>
      </c>
      <c r="S2" s="128" t="s">
        <v>368</v>
      </c>
      <c r="T2" s="128" t="s">
        <v>372</v>
      </c>
      <c r="U2" s="130" t="s">
        <v>370</v>
      </c>
      <c r="V2" s="129" t="s">
        <v>368</v>
      </c>
      <c r="W2" s="129" t="s">
        <v>372</v>
      </c>
      <c r="X2" s="130" t="s">
        <v>371</v>
      </c>
      <c r="Y2" s="129" t="s">
        <v>368</v>
      </c>
      <c r="Z2" s="129" t="s">
        <v>372</v>
      </c>
      <c r="AA2" s="129" t="s">
        <v>375</v>
      </c>
      <c r="AB2"/>
    </row>
    <row r="3" spans="1:28" ht="17">
      <c r="A3" s="124"/>
      <c r="B3" s="124"/>
      <c r="C3" s="124"/>
      <c r="D3" s="124"/>
      <c r="E3" s="124"/>
      <c r="F3" s="124"/>
      <c r="G3" s="124"/>
      <c r="H3" s="124"/>
      <c r="I3" s="124"/>
      <c r="J3" s="54" t="s">
        <v>74</v>
      </c>
      <c r="K3" s="54" t="s">
        <v>75</v>
      </c>
      <c r="L3" s="124"/>
      <c r="M3" s="124"/>
      <c r="N3" s="124"/>
      <c r="O3" s="124"/>
      <c r="P3" s="124"/>
      <c r="Q3" s="125"/>
      <c r="R3" s="127"/>
      <c r="S3" s="128"/>
      <c r="T3" s="128"/>
      <c r="U3" s="130"/>
      <c r="V3" s="129"/>
      <c r="W3" s="129"/>
      <c r="X3" s="130"/>
      <c r="Y3" s="129"/>
      <c r="Z3" s="129"/>
      <c r="AA3" s="129"/>
      <c r="AB3"/>
    </row>
    <row r="4" spans="1:28" ht="17">
      <c r="A4" s="54" t="s">
        <v>24</v>
      </c>
      <c r="B4" s="54" t="s">
        <v>76</v>
      </c>
      <c r="C4" s="54">
        <f>INDEX(PAINEL!$B$4:$B$100,MATCH($A4,PAINEL!$A$4:$A$100,0))</f>
        <v>15</v>
      </c>
      <c r="D4" s="55">
        <v>2769.57</v>
      </c>
      <c r="E4" s="55">
        <v>4390</v>
      </c>
      <c r="F4" s="55">
        <f>D4+E4</f>
        <v>7159.57</v>
      </c>
      <c r="G4" s="55">
        <f>T4</f>
        <v>821.15419999999995</v>
      </c>
      <c r="H4" s="55">
        <v>1175</v>
      </c>
      <c r="J4" s="55">
        <f t="shared" ref="J4:J29" si="0">SUM(F4:I4)</f>
        <v>9155.7242000000006</v>
      </c>
      <c r="K4" s="55">
        <f>J4*12</f>
        <v>109868.69040000001</v>
      </c>
      <c r="L4" s="55">
        <f>F4</f>
        <v>7159.57</v>
      </c>
      <c r="M4" s="55">
        <f>F4/3</f>
        <v>2386.5233333333331</v>
      </c>
      <c r="N4" s="55">
        <f>AA4</f>
        <v>1014.7603999999999</v>
      </c>
      <c r="O4" s="55">
        <f>SUM(K4:N4)</f>
        <v>120429.54413333333</v>
      </c>
      <c r="P4" s="55">
        <f>C4*O4</f>
        <v>1806443.162</v>
      </c>
      <c r="Q4" s="58" t="s">
        <v>365</v>
      </c>
      <c r="R4" s="54">
        <f>F4</f>
        <v>7159.57</v>
      </c>
      <c r="S4" s="78">
        <f>IF(R4&lt;1412.01,(105.9),IF(R4&lt;2666.69,(((R4-1412.01)*9%)+105.9),IF(R4&lt;4000.04,(((R4-2666.69)*12%)+218.82),IF(R4&lt;7786.03,(((R4-4000.04)*14%)+378.82),IF(R4&lt;13333.49,(((R4-7786.03)*14.5%)+908.86),IF(R4&lt;26666.95,(((R4-13333.49)*16.5%)+1713.24),IF(R4&lt;52000.54,(((R4-26666.95)*19%)+3913.26),IF(R4&gt;52000.54,(((R4-52000.54)*22%)+8726.64),"ERRO"))))))))</f>
        <v>821.15419999999995</v>
      </c>
      <c r="T4" s="78">
        <f>IF(S4&lt;7786.02,S4,((S4-7786.02)*8.5%)+7786.02)</f>
        <v>821.15419999999995</v>
      </c>
      <c r="U4" s="78">
        <f>L4</f>
        <v>7159.57</v>
      </c>
      <c r="V4" s="78">
        <f>IF(U4&lt;1412.01,(105.9),IF(U4&lt;2666.69,(((U4-1412.01)*9%)+105.9),IF(U4&lt;4000.04,(((U4-2666.69)*12%)+218.82),IF(U4&lt;7786.03,(((U4-4000.04)*14%)+378.82),IF(U4&lt;13333.49,(((U4-7786.03)*14.5%)+908.86),IF(U4&lt;26666.95,(((U4-13333.49)*16.5%)+1713.24),IF(U4&lt;52000.54,(((U4-26666.95)*19%)+3913.26),IF(U4&gt;52000.54,(((U4-52000.54)*22%)+8726.64),"ERRO"))))))))</f>
        <v>821.15419999999995</v>
      </c>
      <c r="W4" s="78">
        <f>IF(V4&lt;7786.02,V4,((V4-7786.02)*8.5%)+7786.02)</f>
        <v>821.15419999999995</v>
      </c>
      <c r="X4" s="78">
        <f>M4</f>
        <v>2386.5233333333331</v>
      </c>
      <c r="Y4" s="78">
        <f>IF(X4&lt;1412.01,(105.9),IF(X4&lt;2666.69,(((X4-1412.01)*9%)+105.9),IF(X4&lt;4000.04,(((X4-2666.69)*12%)+218.82),IF(X4&lt;7786.03,(((X4-4000.04)*14%)+378.82),IF(X4&lt;13333.49,(((X4-7786.03)*14.5%)+908.86),IF(X4&lt;26666.95,(((X4-13333.49)*16.5%)+1713.24),IF(X4&lt;52000.54,(((X4-26666.95)*19%)+3913.26),IF(X4&gt;52000.54,(((X4-52000.54)*22%)+8726.64),"ERRO"))))))))</f>
        <v>193.6062</v>
      </c>
      <c r="Z4" s="78">
        <f>IF(Y4&lt;7786.02,Y4,((Y4-7786.02)*8.5%)+7786.02)</f>
        <v>193.6062</v>
      </c>
      <c r="AA4" s="78">
        <f>SUM(W4,Z4)</f>
        <v>1014.7603999999999</v>
      </c>
      <c r="AB4"/>
    </row>
    <row r="5" spans="1:28" ht="17">
      <c r="A5" s="57" t="s">
        <v>111</v>
      </c>
      <c r="B5" s="58" t="s">
        <v>76</v>
      </c>
      <c r="C5" s="54">
        <f>INDEX(PAINEL!$B$4:$B$100,MATCH($A5,PAINEL!$A$4:$A$100,0))</f>
        <v>2</v>
      </c>
      <c r="D5" s="55">
        <v>2769.57</v>
      </c>
      <c r="E5" s="55">
        <v>4390</v>
      </c>
      <c r="F5" s="55">
        <f t="shared" ref="F5:F29" si="1">D5+E5</f>
        <v>7159.57</v>
      </c>
      <c r="G5" s="55">
        <f t="shared" ref="G5:G38" si="2">T5</f>
        <v>821.15419999999995</v>
      </c>
      <c r="H5" s="55">
        <v>1175</v>
      </c>
      <c r="I5" s="54" t="s">
        <v>77</v>
      </c>
      <c r="J5" s="55">
        <f t="shared" si="0"/>
        <v>9155.7242000000006</v>
      </c>
      <c r="K5" s="55">
        <f t="shared" ref="K5:K29" si="3">J5*12</f>
        <v>109868.69040000001</v>
      </c>
      <c r="L5" s="55">
        <f t="shared" ref="L5:L29" si="4">F5</f>
        <v>7159.57</v>
      </c>
      <c r="M5" s="55">
        <f t="shared" ref="M5:M29" si="5">F5/3</f>
        <v>2386.5233333333331</v>
      </c>
      <c r="N5" s="55">
        <v>1015.76</v>
      </c>
      <c r="O5" s="55">
        <f t="shared" ref="O5:O29" si="6">SUM(K5:N5)</f>
        <v>120430.54373333332</v>
      </c>
      <c r="P5" s="55">
        <f t="shared" ref="P5:P29" si="7">C5*O5</f>
        <v>240861.08746666665</v>
      </c>
      <c r="Q5" s="58" t="s">
        <v>365</v>
      </c>
      <c r="R5" s="54">
        <f t="shared" ref="R5:R38" si="8">F5</f>
        <v>7159.57</v>
      </c>
      <c r="S5" s="78">
        <f t="shared" ref="S5:S38" si="9">IF(R5&lt;1412.01,(105.9),IF(R5&lt;2666.69,(((R5-1412.01)*9%)+105.9),IF(R5&lt;4000.04,(((R5-2666.69)*12%)+218.82),IF(R5&lt;7786.03,(((R5-4000.04)*14%)+378.82),IF(R5&lt;13333.49,(((R5-7786.03)*14.5%)+908.86),IF(R5&lt;26666.95,(((R5-13333.49)*16.5%)+1713.24),IF(R5&lt;52000.54,(((R5-26666.95)*19%)+3913.26),IF(R5&gt;52000.54,(((R5-52000.54)*22%)+8726.64),"ERRO"))))))))</f>
        <v>821.15419999999995</v>
      </c>
      <c r="T5" s="78">
        <f t="shared" ref="T5:T38" si="10">IF(S5&lt;7786.02,S5,((S5-7786.02)*8.5%)+7786.02)</f>
        <v>821.15419999999995</v>
      </c>
      <c r="U5" s="78">
        <f t="shared" ref="U5:U38" si="11">L5</f>
        <v>7159.57</v>
      </c>
      <c r="V5" s="78">
        <f t="shared" ref="V5:V38" si="12">IF(U5&lt;1412.01,(105.9),IF(U5&lt;2666.69,(((U5-1412.01)*9%)+105.9),IF(U5&lt;4000.04,(((U5-2666.69)*12%)+218.82),IF(U5&lt;7786.03,(((U5-4000.04)*14%)+378.82),IF(U5&lt;13333.49,(((U5-7786.03)*14.5%)+908.86),IF(U5&lt;26666.95,(((U5-13333.49)*16.5%)+1713.24),IF(U5&lt;52000.54,(((U5-26666.95)*19%)+3913.26),IF(U5&gt;52000.54,(((U5-52000.54)*22%)+8726.64),"ERRO"))))))))</f>
        <v>821.15419999999995</v>
      </c>
      <c r="W5" s="78">
        <f t="shared" ref="W5:W38" si="13">IF(V5&lt;7786.02,V5,((V5-7786.02)*8.5%)+7786.02)</f>
        <v>821.15419999999995</v>
      </c>
      <c r="X5" s="78">
        <f t="shared" ref="X5:X38" si="14">M5</f>
        <v>2386.5233333333331</v>
      </c>
      <c r="Y5" s="78">
        <f t="shared" ref="Y5:Y38" si="15">IF(X5&lt;1412.01,(105.9),IF(X5&lt;2666.69,(((X5-1412.01)*9%)+105.9),IF(X5&lt;4000.04,(((X5-2666.69)*12%)+218.82),IF(X5&lt;7786.03,(((X5-4000.04)*14%)+378.82),IF(X5&lt;13333.49,(((X5-7786.03)*14.5%)+908.86),IF(X5&lt;26666.95,(((X5-13333.49)*16.5%)+1713.24),IF(X5&lt;52000.54,(((X5-26666.95)*19%)+3913.26),IF(X5&gt;52000.54,(((X5-52000.54)*22%)+8726.64),"ERRO"))))))))</f>
        <v>193.6062</v>
      </c>
      <c r="Z5" s="78">
        <f t="shared" ref="Z5:Z38" si="16">IF(Y5&lt;7786.02,Y5,((Y5-7786.02)*8.5%)+7786.02)</f>
        <v>193.6062</v>
      </c>
      <c r="AA5" s="78">
        <f t="shared" ref="AA5:AA38" si="17">SUM(W5,Z5)</f>
        <v>1014.7603999999999</v>
      </c>
      <c r="AB5"/>
    </row>
    <row r="6" spans="1:28" ht="17">
      <c r="A6" s="57" t="s">
        <v>14</v>
      </c>
      <c r="B6" s="58" t="s">
        <v>76</v>
      </c>
      <c r="C6" s="54">
        <f>INDEX(PAINEL!$B$4:$B$100,MATCH($A6,PAINEL!$A$4:$A$100,0))</f>
        <v>4</v>
      </c>
      <c r="D6" s="55">
        <v>2769.57</v>
      </c>
      <c r="E6" s="55">
        <v>4390</v>
      </c>
      <c r="F6" s="55">
        <f t="shared" si="1"/>
        <v>7159.57</v>
      </c>
      <c r="G6" s="55">
        <f t="shared" si="2"/>
        <v>821.15419999999995</v>
      </c>
      <c r="H6" s="55">
        <v>1175</v>
      </c>
      <c r="I6" s="54" t="s">
        <v>77</v>
      </c>
      <c r="J6" s="55">
        <f t="shared" si="0"/>
        <v>9155.7242000000006</v>
      </c>
      <c r="K6" s="55">
        <f t="shared" si="3"/>
        <v>109868.69040000001</v>
      </c>
      <c r="L6" s="55">
        <f t="shared" si="4"/>
        <v>7159.57</v>
      </c>
      <c r="M6" s="55">
        <f t="shared" si="5"/>
        <v>2386.5233333333331</v>
      </c>
      <c r="N6" s="55">
        <v>1016.76</v>
      </c>
      <c r="O6" s="55">
        <f t="shared" si="6"/>
        <v>120431.54373333332</v>
      </c>
      <c r="P6" s="55">
        <f t="shared" si="7"/>
        <v>481726.1749333333</v>
      </c>
      <c r="Q6" s="58" t="s">
        <v>365</v>
      </c>
      <c r="R6" s="54">
        <f t="shared" si="8"/>
        <v>7159.57</v>
      </c>
      <c r="S6" s="78">
        <f t="shared" si="9"/>
        <v>821.15419999999995</v>
      </c>
      <c r="T6" s="78">
        <f t="shared" si="10"/>
        <v>821.15419999999995</v>
      </c>
      <c r="U6" s="78">
        <f t="shared" si="11"/>
        <v>7159.57</v>
      </c>
      <c r="V6" s="78">
        <f t="shared" si="12"/>
        <v>821.15419999999995</v>
      </c>
      <c r="W6" s="78">
        <f t="shared" si="13"/>
        <v>821.15419999999995</v>
      </c>
      <c r="X6" s="78">
        <f t="shared" si="14"/>
        <v>2386.5233333333331</v>
      </c>
      <c r="Y6" s="78">
        <f t="shared" si="15"/>
        <v>193.6062</v>
      </c>
      <c r="Z6" s="78">
        <f t="shared" si="16"/>
        <v>193.6062</v>
      </c>
      <c r="AA6" s="78">
        <f t="shared" si="17"/>
        <v>1014.7603999999999</v>
      </c>
      <c r="AB6"/>
    </row>
    <row r="7" spans="1:28" ht="17">
      <c r="A7" s="57" t="s">
        <v>30</v>
      </c>
      <c r="B7" s="58" t="s">
        <v>82</v>
      </c>
      <c r="C7" s="54">
        <f>INDEX(PAINEL!$B$4:$B$100,MATCH($A7,PAINEL!$A$4:$A$100,0))</f>
        <v>40</v>
      </c>
      <c r="D7" s="55">
        <v>2769.57</v>
      </c>
      <c r="E7" s="55">
        <v>4390</v>
      </c>
      <c r="F7" s="55">
        <f t="shared" si="1"/>
        <v>7159.57</v>
      </c>
      <c r="G7" s="55">
        <f t="shared" si="2"/>
        <v>821.15419999999995</v>
      </c>
      <c r="H7" s="55">
        <v>1175</v>
      </c>
      <c r="I7" s="54" t="s">
        <v>77</v>
      </c>
      <c r="J7" s="55">
        <f t="shared" si="0"/>
        <v>9155.7242000000006</v>
      </c>
      <c r="K7" s="55">
        <f t="shared" si="3"/>
        <v>109868.69040000001</v>
      </c>
      <c r="L7" s="55">
        <f t="shared" si="4"/>
        <v>7159.57</v>
      </c>
      <c r="M7" s="55">
        <f t="shared" si="5"/>
        <v>2386.5233333333331</v>
      </c>
      <c r="N7" s="55">
        <v>1017.76</v>
      </c>
      <c r="O7" s="55">
        <f t="shared" si="6"/>
        <v>120432.54373333332</v>
      </c>
      <c r="P7" s="55">
        <f t="shared" si="7"/>
        <v>4817301.7493333332</v>
      </c>
      <c r="Q7" s="58" t="s">
        <v>365</v>
      </c>
      <c r="R7" s="54">
        <f t="shared" si="8"/>
        <v>7159.57</v>
      </c>
      <c r="S7" s="78">
        <f t="shared" si="9"/>
        <v>821.15419999999995</v>
      </c>
      <c r="T7" s="78">
        <f t="shared" si="10"/>
        <v>821.15419999999995</v>
      </c>
      <c r="U7" s="78">
        <f t="shared" si="11"/>
        <v>7159.57</v>
      </c>
      <c r="V7" s="78">
        <f t="shared" si="12"/>
        <v>821.15419999999995</v>
      </c>
      <c r="W7" s="78">
        <f t="shared" si="13"/>
        <v>821.15419999999995</v>
      </c>
      <c r="X7" s="78">
        <f t="shared" si="14"/>
        <v>2386.5233333333331</v>
      </c>
      <c r="Y7" s="78">
        <f t="shared" si="15"/>
        <v>193.6062</v>
      </c>
      <c r="Z7" s="78">
        <f t="shared" si="16"/>
        <v>193.6062</v>
      </c>
      <c r="AA7" s="78">
        <f t="shared" si="17"/>
        <v>1014.7603999999999</v>
      </c>
    </row>
    <row r="8" spans="1:28" ht="17">
      <c r="A8" s="57" t="s">
        <v>127</v>
      </c>
      <c r="B8" s="58" t="s">
        <v>76</v>
      </c>
      <c r="C8" s="54">
        <f>INDEX(PAINEL!$B$4:$B$100,MATCH($A8,PAINEL!$A$4:$A$100,0))</f>
        <v>4</v>
      </c>
      <c r="D8" s="55">
        <v>2769.57</v>
      </c>
      <c r="E8" s="55">
        <v>4390</v>
      </c>
      <c r="F8" s="55">
        <f t="shared" si="1"/>
        <v>7159.57</v>
      </c>
      <c r="G8" s="55">
        <f t="shared" si="2"/>
        <v>821.15419999999995</v>
      </c>
      <c r="H8" s="55">
        <v>1175</v>
      </c>
      <c r="I8" s="54" t="s">
        <v>77</v>
      </c>
      <c r="J8" s="55">
        <f t="shared" si="0"/>
        <v>9155.7242000000006</v>
      </c>
      <c r="K8" s="55">
        <f t="shared" si="3"/>
        <v>109868.69040000001</v>
      </c>
      <c r="L8" s="55">
        <f t="shared" si="4"/>
        <v>7159.57</v>
      </c>
      <c r="M8" s="55">
        <f t="shared" si="5"/>
        <v>2386.5233333333331</v>
      </c>
      <c r="N8" s="55">
        <v>1018.76</v>
      </c>
      <c r="O8" s="55">
        <f t="shared" si="6"/>
        <v>120433.54373333332</v>
      </c>
      <c r="P8" s="55">
        <f t="shared" si="7"/>
        <v>481734.1749333333</v>
      </c>
      <c r="Q8" s="58" t="s">
        <v>365</v>
      </c>
      <c r="R8" s="54">
        <f t="shared" si="8"/>
        <v>7159.57</v>
      </c>
      <c r="S8" s="78">
        <f t="shared" si="9"/>
        <v>821.15419999999995</v>
      </c>
      <c r="T8" s="78">
        <f t="shared" si="10"/>
        <v>821.15419999999995</v>
      </c>
      <c r="U8" s="78">
        <f t="shared" si="11"/>
        <v>7159.57</v>
      </c>
      <c r="V8" s="78">
        <f t="shared" si="12"/>
        <v>821.15419999999995</v>
      </c>
      <c r="W8" s="78">
        <f t="shared" si="13"/>
        <v>821.15419999999995</v>
      </c>
      <c r="X8" s="78">
        <f t="shared" si="14"/>
        <v>2386.5233333333331</v>
      </c>
      <c r="Y8" s="78">
        <f t="shared" si="15"/>
        <v>193.6062</v>
      </c>
      <c r="Z8" s="78">
        <f t="shared" si="16"/>
        <v>193.6062</v>
      </c>
      <c r="AA8" s="78">
        <f t="shared" si="17"/>
        <v>1014.7603999999999</v>
      </c>
    </row>
    <row r="9" spans="1:28" ht="17">
      <c r="A9" s="57" t="s">
        <v>136</v>
      </c>
      <c r="B9" s="58" t="s">
        <v>76</v>
      </c>
      <c r="C9" s="54">
        <f>INDEX(PAINEL!$B$4:$B$100,MATCH($A9,PAINEL!$A$4:$A$100,0))</f>
        <v>2</v>
      </c>
      <c r="D9" s="55">
        <v>2769.57</v>
      </c>
      <c r="E9" s="55">
        <v>4390</v>
      </c>
      <c r="F9" s="55">
        <f t="shared" si="1"/>
        <v>7159.57</v>
      </c>
      <c r="G9" s="55">
        <f t="shared" si="2"/>
        <v>821.15419999999995</v>
      </c>
      <c r="H9" s="55">
        <v>1175</v>
      </c>
      <c r="I9" s="54" t="s">
        <v>77</v>
      </c>
      <c r="J9" s="55">
        <f t="shared" si="0"/>
        <v>9155.7242000000006</v>
      </c>
      <c r="K9" s="55">
        <f t="shared" si="3"/>
        <v>109868.69040000001</v>
      </c>
      <c r="L9" s="55">
        <f t="shared" si="4"/>
        <v>7159.57</v>
      </c>
      <c r="M9" s="55">
        <f t="shared" si="5"/>
        <v>2386.5233333333331</v>
      </c>
      <c r="N9" s="55">
        <v>1020.76</v>
      </c>
      <c r="O9" s="55">
        <f t="shared" si="6"/>
        <v>120435.54373333332</v>
      </c>
      <c r="P9" s="55">
        <f t="shared" si="7"/>
        <v>240871.08746666665</v>
      </c>
      <c r="Q9" s="58" t="s">
        <v>365</v>
      </c>
      <c r="R9" s="54">
        <f t="shared" si="8"/>
        <v>7159.57</v>
      </c>
      <c r="S9" s="78">
        <f t="shared" si="9"/>
        <v>821.15419999999995</v>
      </c>
      <c r="T9" s="78">
        <f t="shared" si="10"/>
        <v>821.15419999999995</v>
      </c>
      <c r="U9" s="78">
        <f t="shared" si="11"/>
        <v>7159.57</v>
      </c>
      <c r="V9" s="78">
        <f t="shared" si="12"/>
        <v>821.15419999999995</v>
      </c>
      <c r="W9" s="78">
        <f t="shared" si="13"/>
        <v>821.15419999999995</v>
      </c>
      <c r="X9" s="78">
        <f t="shared" si="14"/>
        <v>2386.5233333333331</v>
      </c>
      <c r="Y9" s="78">
        <f t="shared" si="15"/>
        <v>193.6062</v>
      </c>
      <c r="Z9" s="78">
        <f t="shared" si="16"/>
        <v>193.6062</v>
      </c>
      <c r="AA9" s="78">
        <f t="shared" si="17"/>
        <v>1014.7603999999999</v>
      </c>
    </row>
    <row r="10" spans="1:28" ht="17">
      <c r="A10" s="57" t="s">
        <v>116</v>
      </c>
      <c r="B10" s="58" t="s">
        <v>76</v>
      </c>
      <c r="C10" s="54">
        <f>INDEX(PAINEL!$B$4:$B$100,MATCH($A10,PAINEL!$A$4:$A$100,0))</f>
        <v>1</v>
      </c>
      <c r="D10" s="55">
        <v>3755.5</v>
      </c>
      <c r="E10" s="55">
        <v>6641</v>
      </c>
      <c r="F10" s="55">
        <f t="shared" si="1"/>
        <v>10396.5</v>
      </c>
      <c r="G10" s="55">
        <f t="shared" si="2"/>
        <v>1287.37815</v>
      </c>
      <c r="H10" s="55">
        <v>1175</v>
      </c>
      <c r="I10" s="54" t="s">
        <v>77</v>
      </c>
      <c r="J10" s="55">
        <f t="shared" si="0"/>
        <v>12858.87815</v>
      </c>
      <c r="K10" s="55">
        <f t="shared" si="3"/>
        <v>154306.53779999999</v>
      </c>
      <c r="L10" s="55">
        <f t="shared" si="4"/>
        <v>10396.5</v>
      </c>
      <c r="M10" s="55">
        <f t="shared" si="5"/>
        <v>3465.5</v>
      </c>
      <c r="N10" s="55">
        <v>1021.76</v>
      </c>
      <c r="O10" s="55">
        <f t="shared" si="6"/>
        <v>169190.2978</v>
      </c>
      <c r="P10" s="55">
        <f t="shared" si="7"/>
        <v>169190.2978</v>
      </c>
      <c r="Q10" s="58" t="s">
        <v>365</v>
      </c>
      <c r="R10" s="54">
        <f t="shared" si="8"/>
        <v>10396.5</v>
      </c>
      <c r="S10" s="78">
        <f t="shared" si="9"/>
        <v>1287.37815</v>
      </c>
      <c r="T10" s="78">
        <f t="shared" si="10"/>
        <v>1287.37815</v>
      </c>
      <c r="U10" s="78">
        <f t="shared" si="11"/>
        <v>10396.5</v>
      </c>
      <c r="V10" s="78">
        <f t="shared" si="12"/>
        <v>1287.37815</v>
      </c>
      <c r="W10" s="78">
        <f t="shared" si="13"/>
        <v>1287.37815</v>
      </c>
      <c r="X10" s="78">
        <f t="shared" si="14"/>
        <v>3465.5</v>
      </c>
      <c r="Y10" s="78">
        <f t="shared" si="15"/>
        <v>314.67719999999997</v>
      </c>
      <c r="Z10" s="78">
        <f t="shared" si="16"/>
        <v>314.67719999999997</v>
      </c>
      <c r="AA10" s="78">
        <f t="shared" si="17"/>
        <v>1602.0553500000001</v>
      </c>
    </row>
    <row r="11" spans="1:28" ht="17">
      <c r="A11" s="57" t="s">
        <v>113</v>
      </c>
      <c r="B11" s="58" t="s">
        <v>76</v>
      </c>
      <c r="C11" s="54">
        <f>INDEX(PAINEL!$B$4:$B$100,MATCH($A11,PAINEL!$A$4:$A$100,0))</f>
        <v>3</v>
      </c>
      <c r="D11" s="55">
        <v>2769.57</v>
      </c>
      <c r="E11" s="55">
        <v>4390</v>
      </c>
      <c r="F11" s="55">
        <f t="shared" si="1"/>
        <v>7159.57</v>
      </c>
      <c r="G11" s="55">
        <f t="shared" si="2"/>
        <v>821.15419999999995</v>
      </c>
      <c r="H11" s="55">
        <v>1175</v>
      </c>
      <c r="I11" s="54" t="s">
        <v>77</v>
      </c>
      <c r="J11" s="55">
        <f t="shared" si="0"/>
        <v>9155.7242000000006</v>
      </c>
      <c r="K11" s="55">
        <f t="shared" si="3"/>
        <v>109868.69040000001</v>
      </c>
      <c r="L11" s="55">
        <f t="shared" si="4"/>
        <v>7159.57</v>
      </c>
      <c r="M11" s="55">
        <f t="shared" si="5"/>
        <v>2386.5233333333331</v>
      </c>
      <c r="N11" s="55">
        <v>1022.76</v>
      </c>
      <c r="O11" s="55">
        <f t="shared" si="6"/>
        <v>120437.54373333332</v>
      </c>
      <c r="P11" s="55">
        <f t="shared" si="7"/>
        <v>361312.63119999995</v>
      </c>
      <c r="Q11" s="58" t="s">
        <v>365</v>
      </c>
      <c r="R11" s="54">
        <f t="shared" si="8"/>
        <v>7159.57</v>
      </c>
      <c r="S11" s="78">
        <f t="shared" si="9"/>
        <v>821.15419999999995</v>
      </c>
      <c r="T11" s="78">
        <f t="shared" si="10"/>
        <v>821.15419999999995</v>
      </c>
      <c r="U11" s="78">
        <f t="shared" si="11"/>
        <v>7159.57</v>
      </c>
      <c r="V11" s="78">
        <f t="shared" si="12"/>
        <v>821.15419999999995</v>
      </c>
      <c r="W11" s="78">
        <f t="shared" si="13"/>
        <v>821.15419999999995</v>
      </c>
      <c r="X11" s="78">
        <f t="shared" si="14"/>
        <v>2386.5233333333331</v>
      </c>
      <c r="Y11" s="78">
        <f t="shared" si="15"/>
        <v>193.6062</v>
      </c>
      <c r="Z11" s="78">
        <f t="shared" si="16"/>
        <v>193.6062</v>
      </c>
      <c r="AA11" s="78">
        <f t="shared" si="17"/>
        <v>1014.7603999999999</v>
      </c>
    </row>
    <row r="12" spans="1:28" ht="17">
      <c r="A12" s="57" t="s">
        <v>112</v>
      </c>
      <c r="B12" s="58" t="s">
        <v>76</v>
      </c>
      <c r="C12" s="54">
        <f>INDEX(PAINEL!$B$4:$B$100,MATCH($A12,PAINEL!$A$4:$A$100,0))</f>
        <v>5</v>
      </c>
      <c r="D12" s="55">
        <v>2769.57</v>
      </c>
      <c r="E12" s="55">
        <v>4390</v>
      </c>
      <c r="F12" s="55">
        <f t="shared" si="1"/>
        <v>7159.57</v>
      </c>
      <c r="G12" s="55">
        <f t="shared" si="2"/>
        <v>821.15419999999995</v>
      </c>
      <c r="H12" s="55">
        <v>1175</v>
      </c>
      <c r="I12" s="54" t="s">
        <v>77</v>
      </c>
      <c r="J12" s="55">
        <f t="shared" si="0"/>
        <v>9155.7242000000006</v>
      </c>
      <c r="K12" s="55">
        <f t="shared" si="3"/>
        <v>109868.69040000001</v>
      </c>
      <c r="L12" s="55">
        <f t="shared" si="4"/>
        <v>7159.57</v>
      </c>
      <c r="M12" s="55">
        <f t="shared" si="5"/>
        <v>2386.5233333333331</v>
      </c>
      <c r="N12" s="55">
        <v>1023.76</v>
      </c>
      <c r="O12" s="55">
        <f t="shared" si="6"/>
        <v>120438.54373333332</v>
      </c>
      <c r="P12" s="55">
        <f t="shared" si="7"/>
        <v>602192.71866666665</v>
      </c>
      <c r="Q12" s="58" t="s">
        <v>365</v>
      </c>
      <c r="R12" s="54">
        <f t="shared" si="8"/>
        <v>7159.57</v>
      </c>
      <c r="S12" s="78">
        <f t="shared" si="9"/>
        <v>821.15419999999995</v>
      </c>
      <c r="T12" s="78">
        <f t="shared" si="10"/>
        <v>821.15419999999995</v>
      </c>
      <c r="U12" s="78">
        <f t="shared" si="11"/>
        <v>7159.57</v>
      </c>
      <c r="V12" s="78">
        <f t="shared" si="12"/>
        <v>821.15419999999995</v>
      </c>
      <c r="W12" s="78">
        <f t="shared" si="13"/>
        <v>821.15419999999995</v>
      </c>
      <c r="X12" s="78">
        <f t="shared" si="14"/>
        <v>2386.5233333333331</v>
      </c>
      <c r="Y12" s="78">
        <f t="shared" si="15"/>
        <v>193.6062</v>
      </c>
      <c r="Z12" s="78">
        <f t="shared" si="16"/>
        <v>193.6062</v>
      </c>
      <c r="AA12" s="78">
        <f t="shared" si="17"/>
        <v>1014.7603999999999</v>
      </c>
    </row>
    <row r="13" spans="1:28" ht="17">
      <c r="A13" s="57" t="s">
        <v>137</v>
      </c>
      <c r="B13" s="58" t="s">
        <v>82</v>
      </c>
      <c r="C13" s="54">
        <f>INDEX(PAINEL!$B$4:$B$100,MATCH($A13,PAINEL!$A$4:$A$100,0))</f>
        <v>6</v>
      </c>
      <c r="D13" s="55">
        <v>2182.59</v>
      </c>
      <c r="E13" s="55">
        <v>2605</v>
      </c>
      <c r="F13" s="55">
        <f t="shared" si="1"/>
        <v>4787.59</v>
      </c>
      <c r="G13" s="55">
        <f t="shared" si="2"/>
        <v>489.077</v>
      </c>
      <c r="H13" s="55">
        <v>1175</v>
      </c>
      <c r="I13" s="54" t="s">
        <v>77</v>
      </c>
      <c r="J13" s="55">
        <f t="shared" si="0"/>
        <v>6451.6670000000004</v>
      </c>
      <c r="K13" s="55">
        <f t="shared" si="3"/>
        <v>77420.004000000001</v>
      </c>
      <c r="L13" s="55">
        <f t="shared" si="4"/>
        <v>4787.59</v>
      </c>
      <c r="M13" s="55">
        <f t="shared" si="5"/>
        <v>1595.8633333333335</v>
      </c>
      <c r="N13" s="55">
        <v>1024.76</v>
      </c>
      <c r="O13" s="55">
        <f t="shared" si="6"/>
        <v>84828.217333333319</v>
      </c>
      <c r="P13" s="55">
        <f t="shared" si="7"/>
        <v>508969.30399999989</v>
      </c>
      <c r="Q13" s="58" t="s">
        <v>365</v>
      </c>
      <c r="R13" s="54">
        <f t="shared" si="8"/>
        <v>4787.59</v>
      </c>
      <c r="S13" s="78">
        <f t="shared" si="9"/>
        <v>489.077</v>
      </c>
      <c r="T13" s="78">
        <f t="shared" si="10"/>
        <v>489.077</v>
      </c>
      <c r="U13" s="78">
        <f t="shared" si="11"/>
        <v>4787.59</v>
      </c>
      <c r="V13" s="78">
        <f t="shared" si="12"/>
        <v>489.077</v>
      </c>
      <c r="W13" s="78">
        <f t="shared" si="13"/>
        <v>489.077</v>
      </c>
      <c r="X13" s="78">
        <f t="shared" si="14"/>
        <v>1595.8633333333335</v>
      </c>
      <c r="Y13" s="78">
        <f t="shared" si="15"/>
        <v>122.44680000000002</v>
      </c>
      <c r="Z13" s="78">
        <f t="shared" si="16"/>
        <v>122.44680000000002</v>
      </c>
      <c r="AA13" s="78">
        <f t="shared" si="17"/>
        <v>611.52380000000005</v>
      </c>
    </row>
    <row r="14" spans="1:28" ht="17">
      <c r="A14" s="57" t="s">
        <v>11</v>
      </c>
      <c r="B14" s="58" t="s">
        <v>76</v>
      </c>
      <c r="C14" s="54">
        <f>INDEX(PAINEL!$B$4:$B$100,MATCH($A14,PAINEL!$A$4:$A$100,0))</f>
        <v>4</v>
      </c>
      <c r="D14" s="55">
        <v>2769.57</v>
      </c>
      <c r="E14" s="55">
        <v>4390</v>
      </c>
      <c r="F14" s="55">
        <f t="shared" si="1"/>
        <v>7159.57</v>
      </c>
      <c r="G14" s="55">
        <f t="shared" si="2"/>
        <v>821.15419999999995</v>
      </c>
      <c r="H14" s="55">
        <v>1175</v>
      </c>
      <c r="I14" s="54" t="s">
        <v>77</v>
      </c>
      <c r="J14" s="55">
        <f t="shared" si="0"/>
        <v>9155.7242000000006</v>
      </c>
      <c r="K14" s="55">
        <f t="shared" si="3"/>
        <v>109868.69040000001</v>
      </c>
      <c r="L14" s="55">
        <f t="shared" si="4"/>
        <v>7159.57</v>
      </c>
      <c r="M14" s="55">
        <f t="shared" si="5"/>
        <v>2386.5233333333331</v>
      </c>
      <c r="N14" s="55">
        <v>1025.76</v>
      </c>
      <c r="O14" s="55">
        <f t="shared" si="6"/>
        <v>120440.54373333332</v>
      </c>
      <c r="P14" s="55">
        <f t="shared" si="7"/>
        <v>481762.1749333333</v>
      </c>
      <c r="Q14" s="58" t="s">
        <v>365</v>
      </c>
      <c r="R14" s="54">
        <f t="shared" si="8"/>
        <v>7159.57</v>
      </c>
      <c r="S14" s="78">
        <f t="shared" si="9"/>
        <v>821.15419999999995</v>
      </c>
      <c r="T14" s="78">
        <f t="shared" si="10"/>
        <v>821.15419999999995</v>
      </c>
      <c r="U14" s="78">
        <f t="shared" si="11"/>
        <v>7159.57</v>
      </c>
      <c r="V14" s="78">
        <f t="shared" si="12"/>
        <v>821.15419999999995</v>
      </c>
      <c r="W14" s="78">
        <f t="shared" si="13"/>
        <v>821.15419999999995</v>
      </c>
      <c r="X14" s="78">
        <f t="shared" si="14"/>
        <v>2386.5233333333331</v>
      </c>
      <c r="Y14" s="78">
        <f t="shared" si="15"/>
        <v>193.6062</v>
      </c>
      <c r="Z14" s="78">
        <f t="shared" si="16"/>
        <v>193.6062</v>
      </c>
      <c r="AA14" s="78">
        <f t="shared" si="17"/>
        <v>1014.7603999999999</v>
      </c>
    </row>
    <row r="15" spans="1:28" ht="17">
      <c r="A15" s="57" t="s">
        <v>22</v>
      </c>
      <c r="B15" s="58" t="s">
        <v>76</v>
      </c>
      <c r="C15" s="54">
        <f>INDEX(PAINEL!$B$4:$B$100,MATCH($A15,PAINEL!$A$4:$A$100,0))</f>
        <v>6</v>
      </c>
      <c r="D15" s="55">
        <v>2769.57</v>
      </c>
      <c r="E15" s="55">
        <v>4390</v>
      </c>
      <c r="F15" s="55">
        <f t="shared" si="1"/>
        <v>7159.57</v>
      </c>
      <c r="G15" s="55">
        <f t="shared" si="2"/>
        <v>821.15419999999995</v>
      </c>
      <c r="H15" s="55">
        <v>1175</v>
      </c>
      <c r="I15" s="54" t="s">
        <v>77</v>
      </c>
      <c r="J15" s="55">
        <f t="shared" si="0"/>
        <v>9155.7242000000006</v>
      </c>
      <c r="K15" s="55">
        <f t="shared" si="3"/>
        <v>109868.69040000001</v>
      </c>
      <c r="L15" s="55">
        <f t="shared" si="4"/>
        <v>7159.57</v>
      </c>
      <c r="M15" s="55">
        <f t="shared" si="5"/>
        <v>2386.5233333333331</v>
      </c>
      <c r="N15" s="55">
        <v>1026.76</v>
      </c>
      <c r="O15" s="55">
        <f t="shared" si="6"/>
        <v>120441.54373333332</v>
      </c>
      <c r="P15" s="55">
        <f t="shared" si="7"/>
        <v>722649.26239999989</v>
      </c>
      <c r="Q15" s="58" t="s">
        <v>365</v>
      </c>
      <c r="R15" s="54">
        <f t="shared" si="8"/>
        <v>7159.57</v>
      </c>
      <c r="S15" s="78">
        <f t="shared" si="9"/>
        <v>821.15419999999995</v>
      </c>
      <c r="T15" s="78">
        <f t="shared" si="10"/>
        <v>821.15419999999995</v>
      </c>
      <c r="U15" s="78">
        <f t="shared" si="11"/>
        <v>7159.57</v>
      </c>
      <c r="V15" s="78">
        <f t="shared" si="12"/>
        <v>821.15419999999995</v>
      </c>
      <c r="W15" s="78">
        <f t="shared" si="13"/>
        <v>821.15419999999995</v>
      </c>
      <c r="X15" s="78">
        <f t="shared" si="14"/>
        <v>2386.5233333333331</v>
      </c>
      <c r="Y15" s="78">
        <f t="shared" si="15"/>
        <v>193.6062</v>
      </c>
      <c r="Z15" s="78">
        <f t="shared" si="16"/>
        <v>193.6062</v>
      </c>
      <c r="AA15" s="78">
        <f t="shared" si="17"/>
        <v>1014.7603999999999</v>
      </c>
    </row>
    <row r="16" spans="1:28" ht="17">
      <c r="A16" s="57" t="s">
        <v>118</v>
      </c>
      <c r="B16" s="58" t="s">
        <v>76</v>
      </c>
      <c r="C16" s="54">
        <f>INDEX(PAINEL!$B$4:$B$100,MATCH($A16,PAINEL!$A$4:$A$100,0))</f>
        <v>5</v>
      </c>
      <c r="D16" s="55">
        <v>2769.57</v>
      </c>
      <c r="E16" s="55">
        <v>4390</v>
      </c>
      <c r="F16" s="55">
        <f t="shared" si="1"/>
        <v>7159.57</v>
      </c>
      <c r="G16" s="55">
        <f t="shared" si="2"/>
        <v>821.15419999999995</v>
      </c>
      <c r="H16" s="55">
        <v>1175</v>
      </c>
      <c r="I16" s="54" t="s">
        <v>77</v>
      </c>
      <c r="J16" s="55">
        <f t="shared" si="0"/>
        <v>9155.7242000000006</v>
      </c>
      <c r="K16" s="55">
        <f t="shared" si="3"/>
        <v>109868.69040000001</v>
      </c>
      <c r="L16" s="55">
        <f t="shared" si="4"/>
        <v>7159.57</v>
      </c>
      <c r="M16" s="55">
        <f t="shared" si="5"/>
        <v>2386.5233333333331</v>
      </c>
      <c r="N16" s="55">
        <v>1027.76</v>
      </c>
      <c r="O16" s="55">
        <f t="shared" si="6"/>
        <v>120442.54373333332</v>
      </c>
      <c r="P16" s="55">
        <f t="shared" si="7"/>
        <v>602212.71866666665</v>
      </c>
      <c r="Q16" s="58" t="s">
        <v>365</v>
      </c>
      <c r="R16" s="54">
        <f t="shared" si="8"/>
        <v>7159.57</v>
      </c>
      <c r="S16" s="78">
        <f t="shared" si="9"/>
        <v>821.15419999999995</v>
      </c>
      <c r="T16" s="78">
        <f t="shared" si="10"/>
        <v>821.15419999999995</v>
      </c>
      <c r="U16" s="78">
        <f t="shared" si="11"/>
        <v>7159.57</v>
      </c>
      <c r="V16" s="78">
        <f t="shared" si="12"/>
        <v>821.15419999999995</v>
      </c>
      <c r="W16" s="78">
        <f t="shared" si="13"/>
        <v>821.15419999999995</v>
      </c>
      <c r="X16" s="78">
        <f t="shared" si="14"/>
        <v>2386.5233333333331</v>
      </c>
      <c r="Y16" s="78">
        <f t="shared" si="15"/>
        <v>193.6062</v>
      </c>
      <c r="Z16" s="78">
        <f t="shared" si="16"/>
        <v>193.6062</v>
      </c>
      <c r="AA16" s="78">
        <f t="shared" si="17"/>
        <v>1014.7603999999999</v>
      </c>
    </row>
    <row r="17" spans="1:27" ht="17">
      <c r="A17" s="57" t="s">
        <v>25</v>
      </c>
      <c r="B17" s="58" t="s">
        <v>76</v>
      </c>
      <c r="C17" s="54">
        <f>INDEX(PAINEL!$B$4:$B$100,MATCH($A17,PAINEL!$A$4:$A$100,0))</f>
        <v>1</v>
      </c>
      <c r="D17" s="55">
        <v>3755.5</v>
      </c>
      <c r="E17" s="55">
        <f t="shared" ref="E17:E20" si="18">66.41*100</f>
        <v>6641</v>
      </c>
      <c r="F17" s="55">
        <f t="shared" si="1"/>
        <v>10396.5</v>
      </c>
      <c r="G17" s="55">
        <f t="shared" si="2"/>
        <v>1287.37815</v>
      </c>
      <c r="H17" s="55">
        <v>1175</v>
      </c>
      <c r="I17" s="54" t="s">
        <v>77</v>
      </c>
      <c r="J17" s="55">
        <f>SUM(F17:I17)</f>
        <v>12858.87815</v>
      </c>
      <c r="K17" s="55">
        <f t="shared" si="3"/>
        <v>154306.53779999999</v>
      </c>
      <c r="L17" s="55">
        <f t="shared" si="4"/>
        <v>10396.5</v>
      </c>
      <c r="M17" s="55">
        <f t="shared" si="5"/>
        <v>3465.5</v>
      </c>
      <c r="N17" s="55">
        <v>1028.76</v>
      </c>
      <c r="O17" s="55">
        <f t="shared" si="6"/>
        <v>169197.2978</v>
      </c>
      <c r="P17" s="55">
        <f t="shared" si="7"/>
        <v>169197.2978</v>
      </c>
      <c r="Q17" s="58" t="s">
        <v>365</v>
      </c>
      <c r="R17" s="54">
        <f t="shared" si="8"/>
        <v>10396.5</v>
      </c>
      <c r="S17" s="78">
        <f t="shared" si="9"/>
        <v>1287.37815</v>
      </c>
      <c r="T17" s="78">
        <f t="shared" si="10"/>
        <v>1287.37815</v>
      </c>
      <c r="U17" s="78">
        <f t="shared" si="11"/>
        <v>10396.5</v>
      </c>
      <c r="V17" s="78">
        <f t="shared" si="12"/>
        <v>1287.37815</v>
      </c>
      <c r="W17" s="78">
        <f t="shared" si="13"/>
        <v>1287.37815</v>
      </c>
      <c r="X17" s="78">
        <f t="shared" si="14"/>
        <v>3465.5</v>
      </c>
      <c r="Y17" s="78">
        <f t="shared" si="15"/>
        <v>314.67719999999997</v>
      </c>
      <c r="Z17" s="78">
        <f t="shared" si="16"/>
        <v>314.67719999999997</v>
      </c>
      <c r="AA17" s="78">
        <f t="shared" si="17"/>
        <v>1602.0553500000001</v>
      </c>
    </row>
    <row r="18" spans="1:27" ht="17">
      <c r="A18" s="57" t="s">
        <v>117</v>
      </c>
      <c r="B18" s="58" t="s">
        <v>76</v>
      </c>
      <c r="C18" s="54">
        <f>INDEX(PAINEL!$B$4:$B$100,MATCH($A18,PAINEL!$A$4:$A$100,0))</f>
        <v>1</v>
      </c>
      <c r="D18" s="55">
        <v>3755.5</v>
      </c>
      <c r="E18" s="55">
        <f t="shared" si="18"/>
        <v>6641</v>
      </c>
      <c r="F18" s="55">
        <f t="shared" si="1"/>
        <v>10396.5</v>
      </c>
      <c r="G18" s="55">
        <f t="shared" si="2"/>
        <v>1287.37815</v>
      </c>
      <c r="H18" s="55">
        <v>1175</v>
      </c>
      <c r="I18" s="54" t="s">
        <v>77</v>
      </c>
      <c r="J18" s="55">
        <f t="shared" si="0"/>
        <v>12858.87815</v>
      </c>
      <c r="K18" s="55">
        <f t="shared" si="3"/>
        <v>154306.53779999999</v>
      </c>
      <c r="L18" s="55">
        <f t="shared" si="4"/>
        <v>10396.5</v>
      </c>
      <c r="M18" s="55">
        <f t="shared" si="5"/>
        <v>3465.5</v>
      </c>
      <c r="N18" s="55">
        <v>1029.76</v>
      </c>
      <c r="O18" s="55">
        <f t="shared" si="6"/>
        <v>169198.2978</v>
      </c>
      <c r="P18" s="55">
        <f t="shared" si="7"/>
        <v>169198.2978</v>
      </c>
      <c r="Q18" s="58" t="s">
        <v>365</v>
      </c>
      <c r="R18" s="54">
        <f t="shared" si="8"/>
        <v>10396.5</v>
      </c>
      <c r="S18" s="78">
        <f t="shared" si="9"/>
        <v>1287.37815</v>
      </c>
      <c r="T18" s="78">
        <f t="shared" si="10"/>
        <v>1287.37815</v>
      </c>
      <c r="U18" s="78">
        <f t="shared" si="11"/>
        <v>10396.5</v>
      </c>
      <c r="V18" s="78">
        <f t="shared" si="12"/>
        <v>1287.37815</v>
      </c>
      <c r="W18" s="78">
        <f t="shared" si="13"/>
        <v>1287.37815</v>
      </c>
      <c r="X18" s="78">
        <f t="shared" si="14"/>
        <v>3465.5</v>
      </c>
      <c r="Y18" s="78">
        <f t="shared" si="15"/>
        <v>314.67719999999997</v>
      </c>
      <c r="Z18" s="78">
        <f t="shared" si="16"/>
        <v>314.67719999999997</v>
      </c>
      <c r="AA18" s="78">
        <f t="shared" si="17"/>
        <v>1602.0553500000001</v>
      </c>
    </row>
    <row r="19" spans="1:27" ht="17">
      <c r="A19" s="57" t="s">
        <v>26</v>
      </c>
      <c r="B19" s="58" t="s">
        <v>76</v>
      </c>
      <c r="C19" s="54">
        <f>INDEX(PAINEL!$B$4:$B$100,MATCH($A19,PAINEL!$A$4:$A$100,0))</f>
        <v>1</v>
      </c>
      <c r="D19" s="55">
        <v>3755.5</v>
      </c>
      <c r="E19" s="55">
        <f t="shared" si="18"/>
        <v>6641</v>
      </c>
      <c r="F19" s="55">
        <f t="shared" si="1"/>
        <v>10396.5</v>
      </c>
      <c r="G19" s="55">
        <f t="shared" si="2"/>
        <v>1287.37815</v>
      </c>
      <c r="H19" s="55">
        <v>1175</v>
      </c>
      <c r="I19" s="54" t="s">
        <v>77</v>
      </c>
      <c r="J19" s="55">
        <f t="shared" si="0"/>
        <v>12858.87815</v>
      </c>
      <c r="K19" s="55">
        <f t="shared" si="3"/>
        <v>154306.53779999999</v>
      </c>
      <c r="L19" s="55">
        <f t="shared" si="4"/>
        <v>10396.5</v>
      </c>
      <c r="M19" s="55">
        <f t="shared" si="5"/>
        <v>3465.5</v>
      </c>
      <c r="N19" s="55">
        <v>1030.76</v>
      </c>
      <c r="O19" s="55">
        <f t="shared" si="6"/>
        <v>169199.2978</v>
      </c>
      <c r="P19" s="55">
        <f t="shared" si="7"/>
        <v>169199.2978</v>
      </c>
      <c r="Q19" s="58" t="s">
        <v>365</v>
      </c>
      <c r="R19" s="54">
        <f t="shared" si="8"/>
        <v>10396.5</v>
      </c>
      <c r="S19" s="78">
        <f t="shared" si="9"/>
        <v>1287.37815</v>
      </c>
      <c r="T19" s="78">
        <f t="shared" si="10"/>
        <v>1287.37815</v>
      </c>
      <c r="U19" s="78">
        <f t="shared" si="11"/>
        <v>10396.5</v>
      </c>
      <c r="V19" s="78">
        <f t="shared" si="12"/>
        <v>1287.37815</v>
      </c>
      <c r="W19" s="78">
        <f t="shared" si="13"/>
        <v>1287.37815</v>
      </c>
      <c r="X19" s="78">
        <f t="shared" si="14"/>
        <v>3465.5</v>
      </c>
      <c r="Y19" s="78">
        <f t="shared" si="15"/>
        <v>314.67719999999997</v>
      </c>
      <c r="Z19" s="78">
        <f t="shared" si="16"/>
        <v>314.67719999999997</v>
      </c>
      <c r="AA19" s="78">
        <f t="shared" si="17"/>
        <v>1602.0553500000001</v>
      </c>
    </row>
    <row r="20" spans="1:27" ht="17">
      <c r="A20" s="57" t="s">
        <v>109</v>
      </c>
      <c r="B20" s="58" t="s">
        <v>76</v>
      </c>
      <c r="C20" s="54">
        <f>INDEX(PAINEL!$B$4:$B$100,MATCH($A20,PAINEL!$A$4:$A$100,0))</f>
        <v>3</v>
      </c>
      <c r="D20" s="55">
        <v>3755.5</v>
      </c>
      <c r="E20" s="55">
        <f t="shared" si="18"/>
        <v>6641</v>
      </c>
      <c r="F20" s="55">
        <f t="shared" si="1"/>
        <v>10396.5</v>
      </c>
      <c r="G20" s="55">
        <f t="shared" si="2"/>
        <v>1287.37815</v>
      </c>
      <c r="H20" s="55">
        <v>1175</v>
      </c>
      <c r="I20" s="54" t="s">
        <v>77</v>
      </c>
      <c r="J20" s="55">
        <f t="shared" si="0"/>
        <v>12858.87815</v>
      </c>
      <c r="K20" s="55">
        <f t="shared" si="3"/>
        <v>154306.53779999999</v>
      </c>
      <c r="L20" s="55">
        <f t="shared" si="4"/>
        <v>10396.5</v>
      </c>
      <c r="M20" s="55">
        <f t="shared" si="5"/>
        <v>3465.5</v>
      </c>
      <c r="N20" s="55">
        <v>1031.76</v>
      </c>
      <c r="O20" s="55">
        <f t="shared" si="6"/>
        <v>169200.2978</v>
      </c>
      <c r="P20" s="55">
        <f t="shared" si="7"/>
        <v>507600.8934</v>
      </c>
      <c r="Q20" s="58" t="s">
        <v>365</v>
      </c>
      <c r="R20" s="54">
        <f t="shared" si="8"/>
        <v>10396.5</v>
      </c>
      <c r="S20" s="78">
        <f t="shared" si="9"/>
        <v>1287.37815</v>
      </c>
      <c r="T20" s="78">
        <f t="shared" si="10"/>
        <v>1287.37815</v>
      </c>
      <c r="U20" s="78">
        <f t="shared" si="11"/>
        <v>10396.5</v>
      </c>
      <c r="V20" s="78">
        <f t="shared" si="12"/>
        <v>1287.37815</v>
      </c>
      <c r="W20" s="78">
        <f t="shared" si="13"/>
        <v>1287.37815</v>
      </c>
      <c r="X20" s="78">
        <f t="shared" si="14"/>
        <v>3465.5</v>
      </c>
      <c r="Y20" s="78">
        <f t="shared" si="15"/>
        <v>314.67719999999997</v>
      </c>
      <c r="Z20" s="78">
        <f t="shared" si="16"/>
        <v>314.67719999999997</v>
      </c>
      <c r="AA20" s="78">
        <f t="shared" si="17"/>
        <v>1602.0553500000001</v>
      </c>
    </row>
    <row r="21" spans="1:27" ht="17">
      <c r="A21" s="57" t="s">
        <v>124</v>
      </c>
      <c r="B21" s="58" t="s">
        <v>76</v>
      </c>
      <c r="C21" s="54">
        <f>INDEX(PAINEL!$B$4:$B$100,MATCH($A21,PAINEL!$A$4:$A$100,0))</f>
        <v>2</v>
      </c>
      <c r="D21" s="55">
        <v>2769.57</v>
      </c>
      <c r="E21" s="55">
        <v>4390</v>
      </c>
      <c r="F21" s="55">
        <f t="shared" si="1"/>
        <v>7159.57</v>
      </c>
      <c r="G21" s="55">
        <f t="shared" si="2"/>
        <v>821.15419999999995</v>
      </c>
      <c r="H21" s="55">
        <v>1175</v>
      </c>
      <c r="I21" s="54" t="s">
        <v>77</v>
      </c>
      <c r="J21" s="55">
        <f t="shared" si="0"/>
        <v>9155.7242000000006</v>
      </c>
      <c r="K21" s="55">
        <f t="shared" si="3"/>
        <v>109868.69040000001</v>
      </c>
      <c r="L21" s="55">
        <f t="shared" si="4"/>
        <v>7159.57</v>
      </c>
      <c r="M21" s="55">
        <f t="shared" si="5"/>
        <v>2386.5233333333331</v>
      </c>
      <c r="N21" s="55">
        <v>1032.76</v>
      </c>
      <c r="O21" s="55">
        <f t="shared" si="6"/>
        <v>120447.54373333332</v>
      </c>
      <c r="P21" s="55">
        <f t="shared" si="7"/>
        <v>240895.08746666665</v>
      </c>
      <c r="Q21" s="58" t="s">
        <v>365</v>
      </c>
      <c r="R21" s="54">
        <f t="shared" si="8"/>
        <v>7159.57</v>
      </c>
      <c r="S21" s="78">
        <f t="shared" si="9"/>
        <v>821.15419999999995</v>
      </c>
      <c r="T21" s="78">
        <f t="shared" si="10"/>
        <v>821.15419999999995</v>
      </c>
      <c r="U21" s="78">
        <f t="shared" si="11"/>
        <v>7159.57</v>
      </c>
      <c r="V21" s="78">
        <f t="shared" si="12"/>
        <v>821.15419999999995</v>
      </c>
      <c r="W21" s="78">
        <f t="shared" si="13"/>
        <v>821.15419999999995</v>
      </c>
      <c r="X21" s="78">
        <f t="shared" si="14"/>
        <v>2386.5233333333331</v>
      </c>
      <c r="Y21" s="78">
        <f t="shared" si="15"/>
        <v>193.6062</v>
      </c>
      <c r="Z21" s="78">
        <f t="shared" si="16"/>
        <v>193.6062</v>
      </c>
      <c r="AA21" s="78">
        <f t="shared" si="17"/>
        <v>1014.7603999999999</v>
      </c>
    </row>
    <row r="22" spans="1:27" ht="17">
      <c r="A22" s="57" t="s">
        <v>119</v>
      </c>
      <c r="B22" s="58" t="s">
        <v>76</v>
      </c>
      <c r="C22" s="54">
        <f>INDEX(PAINEL!$B$4:$B$100,MATCH($A22,PAINEL!$A$4:$A$100,0))</f>
        <v>3</v>
      </c>
      <c r="D22" s="55">
        <v>2769.57</v>
      </c>
      <c r="E22" s="55">
        <v>4390</v>
      </c>
      <c r="F22" s="55">
        <f t="shared" si="1"/>
        <v>7159.57</v>
      </c>
      <c r="G22" s="55">
        <f t="shared" si="2"/>
        <v>821.15419999999995</v>
      </c>
      <c r="H22" s="55">
        <v>1175</v>
      </c>
      <c r="I22" s="54" t="s">
        <v>77</v>
      </c>
      <c r="J22" s="55">
        <f t="shared" si="0"/>
        <v>9155.7242000000006</v>
      </c>
      <c r="K22" s="55">
        <f t="shared" si="3"/>
        <v>109868.69040000001</v>
      </c>
      <c r="L22" s="55">
        <f t="shared" si="4"/>
        <v>7159.57</v>
      </c>
      <c r="M22" s="55">
        <f t="shared" si="5"/>
        <v>2386.5233333333331</v>
      </c>
      <c r="N22" s="55">
        <v>1033.76</v>
      </c>
      <c r="O22" s="55">
        <f t="shared" si="6"/>
        <v>120448.54373333332</v>
      </c>
      <c r="P22" s="55">
        <f t="shared" si="7"/>
        <v>361345.63119999995</v>
      </c>
      <c r="Q22" s="58" t="s">
        <v>365</v>
      </c>
      <c r="R22" s="54">
        <f t="shared" si="8"/>
        <v>7159.57</v>
      </c>
      <c r="S22" s="78">
        <f t="shared" si="9"/>
        <v>821.15419999999995</v>
      </c>
      <c r="T22" s="78">
        <f t="shared" si="10"/>
        <v>821.15419999999995</v>
      </c>
      <c r="U22" s="78">
        <f t="shared" si="11"/>
        <v>7159.57</v>
      </c>
      <c r="V22" s="78">
        <f t="shared" si="12"/>
        <v>821.15419999999995</v>
      </c>
      <c r="W22" s="78">
        <f t="shared" si="13"/>
        <v>821.15419999999995</v>
      </c>
      <c r="X22" s="78">
        <f t="shared" si="14"/>
        <v>2386.5233333333331</v>
      </c>
      <c r="Y22" s="78">
        <f t="shared" si="15"/>
        <v>193.6062</v>
      </c>
      <c r="Z22" s="78">
        <f t="shared" si="16"/>
        <v>193.6062</v>
      </c>
      <c r="AA22" s="78">
        <f t="shared" si="17"/>
        <v>1014.7603999999999</v>
      </c>
    </row>
    <row r="23" spans="1:27" ht="17">
      <c r="A23" s="57" t="s">
        <v>120</v>
      </c>
      <c r="B23" s="58" t="s">
        <v>76</v>
      </c>
      <c r="C23" s="54">
        <f>INDEX(PAINEL!$B$4:$B$100,MATCH($A23,PAINEL!$A$4:$A$100,0))</f>
        <v>2</v>
      </c>
      <c r="D23" s="55">
        <v>2769.57</v>
      </c>
      <c r="E23" s="55">
        <v>4390</v>
      </c>
      <c r="F23" s="55">
        <f t="shared" si="1"/>
        <v>7159.57</v>
      </c>
      <c r="G23" s="55">
        <f t="shared" si="2"/>
        <v>821.15419999999995</v>
      </c>
      <c r="H23" s="55">
        <v>1175</v>
      </c>
      <c r="I23" s="54" t="s">
        <v>77</v>
      </c>
      <c r="J23" s="55">
        <f t="shared" si="0"/>
        <v>9155.7242000000006</v>
      </c>
      <c r="K23" s="55">
        <f t="shared" si="3"/>
        <v>109868.69040000001</v>
      </c>
      <c r="L23" s="55">
        <f t="shared" si="4"/>
        <v>7159.57</v>
      </c>
      <c r="M23" s="55">
        <f t="shared" si="5"/>
        <v>2386.5233333333331</v>
      </c>
      <c r="N23" s="55">
        <v>1034.76</v>
      </c>
      <c r="O23" s="55">
        <f t="shared" si="6"/>
        <v>120449.54373333332</v>
      </c>
      <c r="P23" s="55">
        <f t="shared" si="7"/>
        <v>240899.08746666665</v>
      </c>
      <c r="Q23" s="58" t="s">
        <v>365</v>
      </c>
      <c r="R23" s="54">
        <f t="shared" si="8"/>
        <v>7159.57</v>
      </c>
      <c r="S23" s="78">
        <f t="shared" si="9"/>
        <v>821.15419999999995</v>
      </c>
      <c r="T23" s="78">
        <f t="shared" si="10"/>
        <v>821.15419999999995</v>
      </c>
      <c r="U23" s="78">
        <f t="shared" si="11"/>
        <v>7159.57</v>
      </c>
      <c r="V23" s="78">
        <f t="shared" si="12"/>
        <v>821.15419999999995</v>
      </c>
      <c r="W23" s="78">
        <f t="shared" si="13"/>
        <v>821.15419999999995</v>
      </c>
      <c r="X23" s="78">
        <f t="shared" si="14"/>
        <v>2386.5233333333331</v>
      </c>
      <c r="Y23" s="78">
        <f t="shared" si="15"/>
        <v>193.6062</v>
      </c>
      <c r="Z23" s="78">
        <f t="shared" si="16"/>
        <v>193.6062</v>
      </c>
      <c r="AA23" s="78">
        <f t="shared" si="17"/>
        <v>1014.7603999999999</v>
      </c>
    </row>
    <row r="24" spans="1:27" ht="17">
      <c r="A24" s="57" t="s">
        <v>376</v>
      </c>
      <c r="B24" s="58" t="s">
        <v>76</v>
      </c>
      <c r="C24" s="54">
        <f>INDEX(PAINEL!$B$4:$B$100,MATCH($A24,PAINEL!$A$4:$A$100,0))</f>
        <v>9</v>
      </c>
      <c r="D24" s="55">
        <v>2769.57</v>
      </c>
      <c r="E24" s="55">
        <v>2844</v>
      </c>
      <c r="F24" s="55">
        <f t="shared" si="1"/>
        <v>5613.57</v>
      </c>
      <c r="G24" s="55">
        <f t="shared" si="2"/>
        <v>604.71420000000001</v>
      </c>
      <c r="H24" s="55">
        <v>1175</v>
      </c>
      <c r="I24" s="54" t="s">
        <v>77</v>
      </c>
      <c r="J24" s="55">
        <f t="shared" si="0"/>
        <v>7393.2842000000001</v>
      </c>
      <c r="K24" s="55">
        <f t="shared" si="3"/>
        <v>88719.410399999993</v>
      </c>
      <c r="L24" s="55">
        <f t="shared" si="4"/>
        <v>5613.57</v>
      </c>
      <c r="M24" s="55">
        <f t="shared" si="5"/>
        <v>1871.1899999999998</v>
      </c>
      <c r="N24" s="55">
        <v>1035.76</v>
      </c>
      <c r="O24" s="55">
        <f t="shared" si="6"/>
        <v>97239.930399999997</v>
      </c>
      <c r="P24" s="55">
        <f t="shared" si="7"/>
        <v>875159.37359999993</v>
      </c>
      <c r="Q24" s="58" t="s">
        <v>365</v>
      </c>
      <c r="R24" s="54">
        <f t="shared" si="8"/>
        <v>5613.57</v>
      </c>
      <c r="S24" s="78">
        <f t="shared" si="9"/>
        <v>604.71420000000001</v>
      </c>
      <c r="T24" s="78">
        <f t="shared" si="10"/>
        <v>604.71420000000001</v>
      </c>
      <c r="U24" s="78">
        <f t="shared" si="11"/>
        <v>5613.57</v>
      </c>
      <c r="V24" s="78">
        <f t="shared" si="12"/>
        <v>604.71420000000001</v>
      </c>
      <c r="W24" s="78">
        <f t="shared" si="13"/>
        <v>604.71420000000001</v>
      </c>
      <c r="X24" s="78">
        <f t="shared" si="14"/>
        <v>1871.1899999999998</v>
      </c>
      <c r="Y24" s="78">
        <f t="shared" si="15"/>
        <v>147.22620000000001</v>
      </c>
      <c r="Z24" s="78">
        <f t="shared" si="16"/>
        <v>147.22620000000001</v>
      </c>
      <c r="AA24" s="78">
        <f t="shared" si="17"/>
        <v>751.94039999999995</v>
      </c>
    </row>
    <row r="25" spans="1:27" ht="17">
      <c r="A25" s="57" t="s">
        <v>123</v>
      </c>
      <c r="B25" s="58" t="s">
        <v>76</v>
      </c>
      <c r="C25" s="54">
        <f>INDEX(PAINEL!$B$4:$B$100,MATCH($A25,PAINEL!$A$4:$A$100,0))</f>
        <v>1</v>
      </c>
      <c r="D25" s="55">
        <v>2769.57</v>
      </c>
      <c r="E25" s="55">
        <v>4390</v>
      </c>
      <c r="F25" s="55">
        <f t="shared" si="1"/>
        <v>7159.57</v>
      </c>
      <c r="G25" s="55">
        <f t="shared" si="2"/>
        <v>821.15419999999995</v>
      </c>
      <c r="H25" s="55">
        <v>1175</v>
      </c>
      <c r="I25" s="54" t="s">
        <v>77</v>
      </c>
      <c r="J25" s="55">
        <f t="shared" si="0"/>
        <v>9155.7242000000006</v>
      </c>
      <c r="K25" s="55">
        <f t="shared" si="3"/>
        <v>109868.69040000001</v>
      </c>
      <c r="L25" s="55">
        <f t="shared" si="4"/>
        <v>7159.57</v>
      </c>
      <c r="M25" s="55">
        <f t="shared" si="5"/>
        <v>2386.5233333333331</v>
      </c>
      <c r="N25" s="55">
        <v>1039.76</v>
      </c>
      <c r="O25" s="55">
        <f t="shared" si="6"/>
        <v>120454.54373333332</v>
      </c>
      <c r="P25" s="55">
        <f t="shared" si="7"/>
        <v>120454.54373333332</v>
      </c>
      <c r="Q25" s="58" t="s">
        <v>365</v>
      </c>
      <c r="R25" s="54">
        <f t="shared" si="8"/>
        <v>7159.57</v>
      </c>
      <c r="S25" s="78">
        <f t="shared" si="9"/>
        <v>821.15419999999995</v>
      </c>
      <c r="T25" s="78">
        <f t="shared" si="10"/>
        <v>821.15419999999995</v>
      </c>
      <c r="U25" s="78">
        <f t="shared" si="11"/>
        <v>7159.57</v>
      </c>
      <c r="V25" s="78">
        <f t="shared" si="12"/>
        <v>821.15419999999995</v>
      </c>
      <c r="W25" s="78">
        <f t="shared" si="13"/>
        <v>821.15419999999995</v>
      </c>
      <c r="X25" s="78">
        <f t="shared" si="14"/>
        <v>2386.5233333333331</v>
      </c>
      <c r="Y25" s="78">
        <f t="shared" si="15"/>
        <v>193.6062</v>
      </c>
      <c r="Z25" s="78">
        <f t="shared" si="16"/>
        <v>193.6062</v>
      </c>
      <c r="AA25" s="78">
        <f t="shared" si="17"/>
        <v>1014.7603999999999</v>
      </c>
    </row>
    <row r="26" spans="1:27" ht="17">
      <c r="A26" s="57" t="s">
        <v>12</v>
      </c>
      <c r="B26" s="58" t="s">
        <v>76</v>
      </c>
      <c r="C26" s="54">
        <f>INDEX(PAINEL!$B$4:$B$100,MATCH($A26,PAINEL!$A$4:$A$100,0))</f>
        <v>4</v>
      </c>
      <c r="D26" s="55">
        <v>2769.57</v>
      </c>
      <c r="E26" s="55">
        <v>4390</v>
      </c>
      <c r="F26" s="55">
        <f t="shared" si="1"/>
        <v>7159.57</v>
      </c>
      <c r="G26" s="55">
        <f t="shared" si="2"/>
        <v>821.15419999999995</v>
      </c>
      <c r="H26" s="55">
        <v>1175</v>
      </c>
      <c r="I26" s="54" t="s">
        <v>77</v>
      </c>
      <c r="J26" s="55">
        <f t="shared" si="0"/>
        <v>9155.7242000000006</v>
      </c>
      <c r="K26" s="55">
        <f t="shared" si="3"/>
        <v>109868.69040000001</v>
      </c>
      <c r="L26" s="55">
        <f t="shared" si="4"/>
        <v>7159.57</v>
      </c>
      <c r="M26" s="55">
        <f t="shared" si="5"/>
        <v>2386.5233333333331</v>
      </c>
      <c r="N26" s="55">
        <v>1044.76</v>
      </c>
      <c r="O26" s="55">
        <f t="shared" si="6"/>
        <v>120459.54373333332</v>
      </c>
      <c r="P26" s="55">
        <f t="shared" si="7"/>
        <v>481838.1749333333</v>
      </c>
      <c r="Q26" s="58" t="s">
        <v>365</v>
      </c>
      <c r="R26" s="54">
        <f t="shared" si="8"/>
        <v>7159.57</v>
      </c>
      <c r="S26" s="78">
        <f t="shared" si="9"/>
        <v>821.15419999999995</v>
      </c>
      <c r="T26" s="78">
        <f t="shared" si="10"/>
        <v>821.15419999999995</v>
      </c>
      <c r="U26" s="78">
        <f t="shared" si="11"/>
        <v>7159.57</v>
      </c>
      <c r="V26" s="78">
        <f t="shared" si="12"/>
        <v>821.15419999999995</v>
      </c>
      <c r="W26" s="78">
        <f t="shared" si="13"/>
        <v>821.15419999999995</v>
      </c>
      <c r="X26" s="78">
        <f t="shared" si="14"/>
        <v>2386.5233333333331</v>
      </c>
      <c r="Y26" s="78">
        <f t="shared" si="15"/>
        <v>193.6062</v>
      </c>
      <c r="Z26" s="78">
        <f t="shared" si="16"/>
        <v>193.6062</v>
      </c>
      <c r="AA26" s="78">
        <f t="shared" si="17"/>
        <v>1014.7603999999999</v>
      </c>
    </row>
    <row r="27" spans="1:27" ht="17">
      <c r="A27" s="57" t="s">
        <v>23</v>
      </c>
      <c r="B27" s="58" t="s">
        <v>76</v>
      </c>
      <c r="C27" s="54">
        <f>INDEX(PAINEL!$B$4:$B$100,MATCH($A27,PAINEL!$A$4:$A$100,0))</f>
        <v>4</v>
      </c>
      <c r="D27" s="55">
        <v>2769.57</v>
      </c>
      <c r="E27" s="55">
        <v>4390</v>
      </c>
      <c r="F27" s="55">
        <f t="shared" si="1"/>
        <v>7159.57</v>
      </c>
      <c r="G27" s="55">
        <f t="shared" si="2"/>
        <v>821.15419999999995</v>
      </c>
      <c r="H27" s="55">
        <v>1175</v>
      </c>
      <c r="I27" s="54" t="s">
        <v>77</v>
      </c>
      <c r="J27" s="55">
        <f t="shared" si="0"/>
        <v>9155.7242000000006</v>
      </c>
      <c r="K27" s="55">
        <f t="shared" si="3"/>
        <v>109868.69040000001</v>
      </c>
      <c r="L27" s="55">
        <f t="shared" si="4"/>
        <v>7159.57</v>
      </c>
      <c r="M27" s="55">
        <f t="shared" si="5"/>
        <v>2386.5233333333331</v>
      </c>
      <c r="N27" s="55">
        <v>1045.76</v>
      </c>
      <c r="O27" s="55">
        <f t="shared" si="6"/>
        <v>120460.54373333332</v>
      </c>
      <c r="P27" s="55">
        <f t="shared" si="7"/>
        <v>481842.1749333333</v>
      </c>
      <c r="Q27" s="58" t="s">
        <v>365</v>
      </c>
      <c r="R27" s="54">
        <f t="shared" si="8"/>
        <v>7159.57</v>
      </c>
      <c r="S27" s="78">
        <f t="shared" si="9"/>
        <v>821.15419999999995</v>
      </c>
      <c r="T27" s="78">
        <f t="shared" si="10"/>
        <v>821.15419999999995</v>
      </c>
      <c r="U27" s="78">
        <f t="shared" si="11"/>
        <v>7159.57</v>
      </c>
      <c r="V27" s="78">
        <f t="shared" si="12"/>
        <v>821.15419999999995</v>
      </c>
      <c r="W27" s="78">
        <f t="shared" si="13"/>
        <v>821.15419999999995</v>
      </c>
      <c r="X27" s="78">
        <f t="shared" si="14"/>
        <v>2386.5233333333331</v>
      </c>
      <c r="Y27" s="78">
        <f t="shared" si="15"/>
        <v>193.6062</v>
      </c>
      <c r="Z27" s="78">
        <f t="shared" si="16"/>
        <v>193.6062</v>
      </c>
      <c r="AA27" s="78">
        <f t="shared" si="17"/>
        <v>1014.7603999999999</v>
      </c>
    </row>
    <row r="28" spans="1:27" ht="17">
      <c r="A28" s="57" t="s">
        <v>178</v>
      </c>
      <c r="B28" s="58" t="s">
        <v>76</v>
      </c>
      <c r="C28" s="54">
        <f>INDEX(PAINEL!$B$4:$B$100,MATCH($A28,PAINEL!$A$4:$A$100,0))</f>
        <v>88</v>
      </c>
      <c r="D28" s="55">
        <v>6397.19</v>
      </c>
      <c r="E28" s="55">
        <v>1279.44</v>
      </c>
      <c r="F28" s="55">
        <f t="shared" si="1"/>
        <v>7676.6299999999992</v>
      </c>
      <c r="G28" s="55">
        <f t="shared" si="2"/>
        <v>893.54259999999999</v>
      </c>
      <c r="H28" s="55">
        <v>1175</v>
      </c>
      <c r="I28" s="54" t="s">
        <v>77</v>
      </c>
      <c r="J28" s="55">
        <f t="shared" si="0"/>
        <v>9745.1725999999999</v>
      </c>
      <c r="K28" s="55">
        <f t="shared" si="3"/>
        <v>116942.07120000001</v>
      </c>
      <c r="L28" s="55">
        <f t="shared" si="4"/>
        <v>7676.6299999999992</v>
      </c>
      <c r="M28" s="55">
        <f t="shared" si="5"/>
        <v>2558.8766666666666</v>
      </c>
      <c r="N28" s="55">
        <v>1046.76</v>
      </c>
      <c r="O28" s="55">
        <f t="shared" si="6"/>
        <v>128224.33786666667</v>
      </c>
      <c r="P28" s="55">
        <f t="shared" si="7"/>
        <v>11283741.732266666</v>
      </c>
      <c r="Q28" s="58" t="s">
        <v>365</v>
      </c>
      <c r="R28" s="54">
        <f t="shared" si="8"/>
        <v>7676.6299999999992</v>
      </c>
      <c r="S28" s="78">
        <f t="shared" si="9"/>
        <v>893.54259999999999</v>
      </c>
      <c r="T28" s="78">
        <f t="shared" si="10"/>
        <v>893.54259999999999</v>
      </c>
      <c r="U28" s="78">
        <f t="shared" si="11"/>
        <v>7676.6299999999992</v>
      </c>
      <c r="V28" s="78">
        <f t="shared" si="12"/>
        <v>893.54259999999999</v>
      </c>
      <c r="W28" s="78">
        <f t="shared" si="13"/>
        <v>893.54259999999999</v>
      </c>
      <c r="X28" s="78">
        <f t="shared" si="14"/>
        <v>2558.8766666666666</v>
      </c>
      <c r="Y28" s="78">
        <f t="shared" si="15"/>
        <v>209.11799999999999</v>
      </c>
      <c r="Z28" s="78">
        <f t="shared" si="16"/>
        <v>209.11799999999999</v>
      </c>
      <c r="AA28" s="78">
        <f t="shared" si="17"/>
        <v>1102.6605999999999</v>
      </c>
    </row>
    <row r="29" spans="1:27" ht="17">
      <c r="A29" s="57" t="s">
        <v>177</v>
      </c>
      <c r="B29" s="58" t="s">
        <v>76</v>
      </c>
      <c r="C29" s="54">
        <f>INDEX(PAINEL!$B$4:$B$100,MATCH($A29,PAINEL!$A$4:$A$100,0))</f>
        <v>43</v>
      </c>
      <c r="D29" s="55">
        <v>6397.19</v>
      </c>
      <c r="E29" s="55">
        <v>7356.77</v>
      </c>
      <c r="F29" s="55">
        <f t="shared" si="1"/>
        <v>13753.96</v>
      </c>
      <c r="G29" s="55">
        <f t="shared" si="2"/>
        <v>1782.6175499999999</v>
      </c>
      <c r="H29" s="55">
        <v>1175</v>
      </c>
      <c r="I29" s="54" t="s">
        <v>77</v>
      </c>
      <c r="J29" s="55">
        <f t="shared" si="0"/>
        <v>16711.577549999998</v>
      </c>
      <c r="K29" s="55">
        <f t="shared" si="3"/>
        <v>200538.93059999996</v>
      </c>
      <c r="L29" s="55">
        <f t="shared" si="4"/>
        <v>13753.96</v>
      </c>
      <c r="M29" s="55">
        <f t="shared" si="5"/>
        <v>4584.6533333333327</v>
      </c>
      <c r="N29" s="55">
        <v>1047.76</v>
      </c>
      <c r="O29" s="55">
        <f t="shared" si="6"/>
        <v>219925.30393333329</v>
      </c>
      <c r="P29" s="55">
        <f t="shared" si="7"/>
        <v>9456788.069133332</v>
      </c>
      <c r="Q29" s="58" t="s">
        <v>365</v>
      </c>
      <c r="R29" s="54">
        <f t="shared" si="8"/>
        <v>13753.96</v>
      </c>
      <c r="S29" s="78">
        <f t="shared" si="9"/>
        <v>1782.6175499999999</v>
      </c>
      <c r="T29" s="78">
        <f t="shared" si="10"/>
        <v>1782.6175499999999</v>
      </c>
      <c r="U29" s="78">
        <f t="shared" si="11"/>
        <v>13753.96</v>
      </c>
      <c r="V29" s="78">
        <f t="shared" si="12"/>
        <v>1782.6175499999999</v>
      </c>
      <c r="W29" s="78">
        <f t="shared" si="13"/>
        <v>1782.6175499999999</v>
      </c>
      <c r="X29" s="78">
        <f t="shared" si="14"/>
        <v>4584.6533333333327</v>
      </c>
      <c r="Y29" s="78">
        <f t="shared" si="15"/>
        <v>460.6658666666666</v>
      </c>
      <c r="Z29" s="78">
        <f t="shared" si="16"/>
        <v>460.6658666666666</v>
      </c>
      <c r="AA29" s="78">
        <f t="shared" si="17"/>
        <v>2243.2834166666667</v>
      </c>
    </row>
    <row r="30" spans="1:27" ht="17">
      <c r="A30" s="57" t="s">
        <v>106</v>
      </c>
      <c r="B30" s="58" t="s">
        <v>82</v>
      </c>
      <c r="C30" s="54">
        <f>INDEX(PAINEL!$B$4:$B$100,MATCH($A30,PAINEL!$A$4:$A$100,0))</f>
        <v>7</v>
      </c>
      <c r="D30" s="55">
        <v>2182.59</v>
      </c>
      <c r="E30" s="55">
        <v>2605</v>
      </c>
      <c r="F30" s="55">
        <f>D30+E30</f>
        <v>4787.59</v>
      </c>
      <c r="G30" s="55">
        <f t="shared" si="2"/>
        <v>489.077</v>
      </c>
      <c r="H30" s="55">
        <v>1175</v>
      </c>
      <c r="I30" s="54" t="s">
        <v>77</v>
      </c>
      <c r="J30" s="55">
        <f>SUM(F30:I30)</f>
        <v>6451.6670000000004</v>
      </c>
      <c r="K30" s="55">
        <f>J30*12</f>
        <v>77420.004000000001</v>
      </c>
      <c r="L30" s="55">
        <f>F30</f>
        <v>4787.59</v>
      </c>
      <c r="M30" s="55">
        <f>F30/3</f>
        <v>1595.8633333333335</v>
      </c>
      <c r="N30" s="55">
        <v>712.47</v>
      </c>
      <c r="O30" s="55">
        <f>SUM(K30:N30)</f>
        <v>84515.927333333326</v>
      </c>
      <c r="P30" s="55">
        <f>C30*O30</f>
        <v>591611.49133333331</v>
      </c>
      <c r="Q30" s="58" t="s">
        <v>365</v>
      </c>
      <c r="R30" s="54">
        <f t="shared" si="8"/>
        <v>4787.59</v>
      </c>
      <c r="S30" s="78">
        <f t="shared" si="9"/>
        <v>489.077</v>
      </c>
      <c r="T30" s="78">
        <f t="shared" si="10"/>
        <v>489.077</v>
      </c>
      <c r="U30" s="78">
        <f t="shared" si="11"/>
        <v>4787.59</v>
      </c>
      <c r="V30" s="78">
        <f t="shared" si="12"/>
        <v>489.077</v>
      </c>
      <c r="W30" s="78">
        <f t="shared" si="13"/>
        <v>489.077</v>
      </c>
      <c r="X30" s="78">
        <f t="shared" si="14"/>
        <v>1595.8633333333335</v>
      </c>
      <c r="Y30" s="78">
        <f t="shared" si="15"/>
        <v>122.44680000000002</v>
      </c>
      <c r="Z30" s="78">
        <f t="shared" si="16"/>
        <v>122.44680000000002</v>
      </c>
      <c r="AA30" s="78">
        <f t="shared" si="17"/>
        <v>611.52380000000005</v>
      </c>
    </row>
    <row r="31" spans="1:27" ht="17">
      <c r="A31" s="57" t="s">
        <v>250</v>
      </c>
      <c r="B31" s="58" t="s">
        <v>82</v>
      </c>
      <c r="C31" s="54">
        <f>INDEX(PAINEL!$B$4:$B$100,MATCH($A31,PAINEL!$A$4:$A$100,0))</f>
        <v>5</v>
      </c>
      <c r="D31" s="55">
        <v>2182.59</v>
      </c>
      <c r="E31" s="55">
        <v>2605</v>
      </c>
      <c r="F31" s="55">
        <f t="shared" ref="F31:F35" si="19">D31+E31</f>
        <v>4787.59</v>
      </c>
      <c r="G31" s="55">
        <f t="shared" si="2"/>
        <v>489.077</v>
      </c>
      <c r="H31" s="55">
        <v>1175</v>
      </c>
      <c r="I31" s="54" t="s">
        <v>77</v>
      </c>
      <c r="J31" s="55">
        <f t="shared" ref="J31:J35" si="20">SUM(F31:I31)</f>
        <v>6451.6670000000004</v>
      </c>
      <c r="K31" s="55">
        <f t="shared" ref="K31:K35" si="21">J31*12</f>
        <v>77420.004000000001</v>
      </c>
      <c r="L31" s="55">
        <f t="shared" ref="L31:L35" si="22">F31</f>
        <v>4787.59</v>
      </c>
      <c r="M31" s="55">
        <f t="shared" ref="M31:M35" si="23">F31/3</f>
        <v>1595.8633333333335</v>
      </c>
      <c r="N31" s="55">
        <v>713.47</v>
      </c>
      <c r="O31" s="55">
        <f t="shared" ref="O31:O35" si="24">SUM(K31:N31)</f>
        <v>84516.927333333326</v>
      </c>
      <c r="P31" s="55">
        <f t="shared" ref="P31:P35" si="25">C31*O31</f>
        <v>422584.6366666666</v>
      </c>
      <c r="Q31" s="58" t="s">
        <v>365</v>
      </c>
      <c r="R31" s="54">
        <f t="shared" si="8"/>
        <v>4787.59</v>
      </c>
      <c r="S31" s="78">
        <f t="shared" si="9"/>
        <v>489.077</v>
      </c>
      <c r="T31" s="78">
        <f t="shared" si="10"/>
        <v>489.077</v>
      </c>
      <c r="U31" s="78">
        <f t="shared" si="11"/>
        <v>4787.59</v>
      </c>
      <c r="V31" s="78">
        <f t="shared" si="12"/>
        <v>489.077</v>
      </c>
      <c r="W31" s="78">
        <f t="shared" si="13"/>
        <v>489.077</v>
      </c>
      <c r="X31" s="78">
        <f t="shared" si="14"/>
        <v>1595.8633333333335</v>
      </c>
      <c r="Y31" s="78">
        <f t="shared" si="15"/>
        <v>122.44680000000002</v>
      </c>
      <c r="Z31" s="78">
        <f t="shared" si="16"/>
        <v>122.44680000000002</v>
      </c>
      <c r="AA31" s="78">
        <f t="shared" si="17"/>
        <v>611.52380000000005</v>
      </c>
    </row>
    <row r="32" spans="1:27" ht="17">
      <c r="A32" s="57" t="s">
        <v>125</v>
      </c>
      <c r="B32" s="58" t="s">
        <v>82</v>
      </c>
      <c r="C32" s="54">
        <f>INDEX(PAINEL!$B$4:$B$100,MATCH($A32,PAINEL!$A$4:$A$100,0))</f>
        <v>3</v>
      </c>
      <c r="D32" s="55">
        <v>2182.59</v>
      </c>
      <c r="E32" s="55">
        <v>2605</v>
      </c>
      <c r="F32" s="55">
        <f t="shared" si="19"/>
        <v>4787.59</v>
      </c>
      <c r="G32" s="55">
        <f t="shared" si="2"/>
        <v>489.077</v>
      </c>
      <c r="H32" s="55">
        <v>1175</v>
      </c>
      <c r="I32" s="54" t="s">
        <v>77</v>
      </c>
      <c r="J32" s="55">
        <f t="shared" si="20"/>
        <v>6451.6670000000004</v>
      </c>
      <c r="K32" s="55">
        <f t="shared" si="21"/>
        <v>77420.004000000001</v>
      </c>
      <c r="L32" s="55">
        <f t="shared" si="22"/>
        <v>4787.59</v>
      </c>
      <c r="M32" s="55">
        <f t="shared" si="23"/>
        <v>1595.8633333333335</v>
      </c>
      <c r="N32" s="55">
        <v>714.47</v>
      </c>
      <c r="O32" s="55">
        <f t="shared" si="24"/>
        <v>84517.927333333326</v>
      </c>
      <c r="P32" s="55">
        <f t="shared" si="25"/>
        <v>253553.78199999998</v>
      </c>
      <c r="Q32" s="58" t="s">
        <v>365</v>
      </c>
      <c r="R32" s="54">
        <f t="shared" si="8"/>
        <v>4787.59</v>
      </c>
      <c r="S32" s="78">
        <f t="shared" si="9"/>
        <v>489.077</v>
      </c>
      <c r="T32" s="78">
        <f t="shared" si="10"/>
        <v>489.077</v>
      </c>
      <c r="U32" s="78">
        <f t="shared" si="11"/>
        <v>4787.59</v>
      </c>
      <c r="V32" s="78">
        <f t="shared" si="12"/>
        <v>489.077</v>
      </c>
      <c r="W32" s="78">
        <f t="shared" si="13"/>
        <v>489.077</v>
      </c>
      <c r="X32" s="78">
        <f t="shared" si="14"/>
        <v>1595.8633333333335</v>
      </c>
      <c r="Y32" s="78">
        <f t="shared" si="15"/>
        <v>122.44680000000002</v>
      </c>
      <c r="Z32" s="78">
        <f t="shared" si="16"/>
        <v>122.44680000000002</v>
      </c>
      <c r="AA32" s="78">
        <f t="shared" si="17"/>
        <v>611.52380000000005</v>
      </c>
    </row>
    <row r="33" spans="1:27" ht="17">
      <c r="A33" s="58" t="s">
        <v>105</v>
      </c>
      <c r="B33" s="58" t="s">
        <v>76</v>
      </c>
      <c r="C33" s="54">
        <f>INDEX(PAINEL!$B$4:$B$100,MATCH($A33,PAINEL!$A$4:$A$100,0))</f>
        <v>37</v>
      </c>
      <c r="D33" s="55">
        <v>2769.57</v>
      </c>
      <c r="E33" s="55">
        <v>4390</v>
      </c>
      <c r="F33" s="55">
        <f t="shared" si="19"/>
        <v>7159.57</v>
      </c>
      <c r="G33" s="55">
        <f t="shared" si="2"/>
        <v>821.15419999999995</v>
      </c>
      <c r="H33" s="55">
        <v>1175</v>
      </c>
      <c r="I33" s="54" t="s">
        <v>77</v>
      </c>
      <c r="J33" s="55">
        <f t="shared" si="20"/>
        <v>9155.7242000000006</v>
      </c>
      <c r="K33" s="55">
        <f t="shared" si="21"/>
        <v>109868.69040000001</v>
      </c>
      <c r="L33" s="55">
        <f t="shared" si="22"/>
        <v>7159.57</v>
      </c>
      <c r="M33" s="55">
        <f t="shared" si="23"/>
        <v>2386.5233333333331</v>
      </c>
      <c r="N33" s="55">
        <v>715.47</v>
      </c>
      <c r="O33" s="55">
        <f t="shared" si="24"/>
        <v>120130.25373333333</v>
      </c>
      <c r="P33" s="55">
        <f t="shared" si="25"/>
        <v>4444819.3881333331</v>
      </c>
      <c r="Q33" s="58" t="s">
        <v>365</v>
      </c>
      <c r="R33" s="54">
        <f t="shared" si="8"/>
        <v>7159.57</v>
      </c>
      <c r="S33" s="78">
        <f t="shared" si="9"/>
        <v>821.15419999999995</v>
      </c>
      <c r="T33" s="78">
        <f t="shared" si="10"/>
        <v>821.15419999999995</v>
      </c>
      <c r="U33" s="78">
        <f t="shared" si="11"/>
        <v>7159.57</v>
      </c>
      <c r="V33" s="78">
        <f t="shared" si="12"/>
        <v>821.15419999999995</v>
      </c>
      <c r="W33" s="78">
        <f t="shared" si="13"/>
        <v>821.15419999999995</v>
      </c>
      <c r="X33" s="78">
        <f t="shared" si="14"/>
        <v>2386.5233333333331</v>
      </c>
      <c r="Y33" s="78">
        <f t="shared" si="15"/>
        <v>193.6062</v>
      </c>
      <c r="Z33" s="78">
        <f t="shared" si="16"/>
        <v>193.6062</v>
      </c>
      <c r="AA33" s="78">
        <f t="shared" si="17"/>
        <v>1014.7603999999999</v>
      </c>
    </row>
    <row r="34" spans="1:27" ht="17">
      <c r="A34" s="58" t="s">
        <v>110</v>
      </c>
      <c r="B34" s="58" t="s">
        <v>82</v>
      </c>
      <c r="C34" s="54">
        <f>INDEX(PAINEL!$B$4:$B$100,MATCH($A34,PAINEL!$A$4:$A$100,0))</f>
        <v>3</v>
      </c>
      <c r="D34" s="55">
        <v>2182.59</v>
      </c>
      <c r="E34" s="55">
        <v>2605</v>
      </c>
      <c r="F34" s="55">
        <f t="shared" si="19"/>
        <v>4787.59</v>
      </c>
      <c r="G34" s="55">
        <f t="shared" si="2"/>
        <v>489.077</v>
      </c>
      <c r="H34" s="55">
        <v>1175</v>
      </c>
      <c r="I34" s="54" t="s">
        <v>77</v>
      </c>
      <c r="J34" s="55">
        <f t="shared" si="20"/>
        <v>6451.6670000000004</v>
      </c>
      <c r="K34" s="55">
        <f t="shared" si="21"/>
        <v>77420.004000000001</v>
      </c>
      <c r="L34" s="55">
        <f t="shared" si="22"/>
        <v>4787.59</v>
      </c>
      <c r="M34" s="55">
        <f t="shared" si="23"/>
        <v>1595.8633333333335</v>
      </c>
      <c r="N34" s="55">
        <v>716.47</v>
      </c>
      <c r="O34" s="55">
        <f t="shared" si="24"/>
        <v>84519.927333333326</v>
      </c>
      <c r="P34" s="55">
        <f t="shared" si="25"/>
        <v>253559.78199999998</v>
      </c>
      <c r="Q34" s="58" t="s">
        <v>365</v>
      </c>
      <c r="R34" s="54">
        <f t="shared" si="8"/>
        <v>4787.59</v>
      </c>
      <c r="S34" s="78">
        <f t="shared" si="9"/>
        <v>489.077</v>
      </c>
      <c r="T34" s="78">
        <f t="shared" si="10"/>
        <v>489.077</v>
      </c>
      <c r="U34" s="78">
        <f t="shared" si="11"/>
        <v>4787.59</v>
      </c>
      <c r="V34" s="78">
        <f t="shared" si="12"/>
        <v>489.077</v>
      </c>
      <c r="W34" s="78">
        <f t="shared" si="13"/>
        <v>489.077</v>
      </c>
      <c r="X34" s="78">
        <f t="shared" si="14"/>
        <v>1595.8633333333335</v>
      </c>
      <c r="Y34" s="78">
        <f t="shared" si="15"/>
        <v>122.44680000000002</v>
      </c>
      <c r="Z34" s="78">
        <f t="shared" si="16"/>
        <v>122.44680000000002</v>
      </c>
      <c r="AA34" s="78">
        <f t="shared" si="17"/>
        <v>611.52380000000005</v>
      </c>
    </row>
    <row r="35" spans="1:27" ht="17">
      <c r="A35" s="58" t="s">
        <v>126</v>
      </c>
      <c r="B35" s="58" t="s">
        <v>82</v>
      </c>
      <c r="C35" s="54">
        <f>INDEX(PAINEL!$B$4:$B$100,MATCH($A35,PAINEL!$A$4:$A$100,0))</f>
        <v>5</v>
      </c>
      <c r="D35" s="55">
        <v>2182.59</v>
      </c>
      <c r="E35" s="55">
        <v>2605</v>
      </c>
      <c r="F35" s="55">
        <f t="shared" si="19"/>
        <v>4787.59</v>
      </c>
      <c r="G35" s="55">
        <f t="shared" si="2"/>
        <v>489.077</v>
      </c>
      <c r="H35" s="55">
        <v>1175</v>
      </c>
      <c r="I35" s="54" t="s">
        <v>77</v>
      </c>
      <c r="J35" s="55">
        <f t="shared" si="20"/>
        <v>6451.6670000000004</v>
      </c>
      <c r="K35" s="55">
        <f t="shared" si="21"/>
        <v>77420.004000000001</v>
      </c>
      <c r="L35" s="55">
        <f t="shared" si="22"/>
        <v>4787.59</v>
      </c>
      <c r="M35" s="55">
        <f t="shared" si="23"/>
        <v>1595.8633333333335</v>
      </c>
      <c r="N35" s="55">
        <v>717.47</v>
      </c>
      <c r="O35" s="55">
        <f t="shared" si="24"/>
        <v>84520.927333333326</v>
      </c>
      <c r="P35" s="55">
        <f t="shared" si="25"/>
        <v>422604.6366666666</v>
      </c>
      <c r="Q35" s="58" t="s">
        <v>365</v>
      </c>
      <c r="R35" s="54">
        <f t="shared" si="8"/>
        <v>4787.59</v>
      </c>
      <c r="S35" s="78">
        <f t="shared" si="9"/>
        <v>489.077</v>
      </c>
      <c r="T35" s="78">
        <f t="shared" si="10"/>
        <v>489.077</v>
      </c>
      <c r="U35" s="78">
        <f t="shared" si="11"/>
        <v>4787.59</v>
      </c>
      <c r="V35" s="78">
        <f t="shared" si="12"/>
        <v>489.077</v>
      </c>
      <c r="W35" s="78">
        <f t="shared" si="13"/>
        <v>489.077</v>
      </c>
      <c r="X35" s="78">
        <f t="shared" si="14"/>
        <v>1595.8633333333335</v>
      </c>
      <c r="Y35" s="78">
        <f t="shared" si="15"/>
        <v>122.44680000000002</v>
      </c>
      <c r="Z35" s="78">
        <f t="shared" si="16"/>
        <v>122.44680000000002</v>
      </c>
      <c r="AA35" s="78">
        <f t="shared" si="17"/>
        <v>611.52380000000005</v>
      </c>
    </row>
    <row r="36" spans="1:27" ht="17">
      <c r="A36" s="58" t="s">
        <v>21</v>
      </c>
      <c r="B36" s="58" t="s">
        <v>82</v>
      </c>
      <c r="C36" s="54">
        <f>INDEX(PAINEL!$B$4:$B$100,MATCH($A36,PAINEL!$A$4:$A$100,0))</f>
        <v>3</v>
      </c>
      <c r="D36" s="55">
        <v>2182.59</v>
      </c>
      <c r="E36" s="55">
        <v>2605</v>
      </c>
      <c r="F36" s="55">
        <f t="shared" ref="F36:F38" si="26">D36+E36</f>
        <v>4787.59</v>
      </c>
      <c r="G36" s="55">
        <f t="shared" si="2"/>
        <v>489.077</v>
      </c>
      <c r="H36" s="55">
        <v>1175</v>
      </c>
      <c r="I36" s="54" t="s">
        <v>77</v>
      </c>
      <c r="J36" s="55">
        <f t="shared" ref="J36:J38" si="27">SUM(F36:I36)</f>
        <v>6451.6670000000004</v>
      </c>
      <c r="K36" s="55">
        <f t="shared" ref="K36:K38" si="28">J36*12</f>
        <v>77420.004000000001</v>
      </c>
      <c r="L36" s="55">
        <f t="shared" ref="L36:L38" si="29">F36</f>
        <v>4787.59</v>
      </c>
      <c r="M36" s="55">
        <f t="shared" ref="M36:M38" si="30">F36/3</f>
        <v>1595.8633333333335</v>
      </c>
      <c r="N36" s="55">
        <v>718.47</v>
      </c>
      <c r="O36" s="55">
        <f t="shared" ref="O36:O37" si="31">SUM(K36:N36)</f>
        <v>84521.927333333326</v>
      </c>
      <c r="P36" s="55">
        <f t="shared" ref="P36:P37" si="32">C36*O36</f>
        <v>253565.78199999998</v>
      </c>
      <c r="Q36" s="58" t="s">
        <v>365</v>
      </c>
      <c r="R36" s="54">
        <f t="shared" si="8"/>
        <v>4787.59</v>
      </c>
      <c r="S36" s="78">
        <f t="shared" si="9"/>
        <v>489.077</v>
      </c>
      <c r="T36" s="78">
        <f t="shared" si="10"/>
        <v>489.077</v>
      </c>
      <c r="U36" s="78">
        <f t="shared" si="11"/>
        <v>4787.59</v>
      </c>
      <c r="V36" s="78">
        <f t="shared" si="12"/>
        <v>489.077</v>
      </c>
      <c r="W36" s="78">
        <f t="shared" si="13"/>
        <v>489.077</v>
      </c>
      <c r="X36" s="78">
        <f t="shared" si="14"/>
        <v>1595.8633333333335</v>
      </c>
      <c r="Y36" s="78">
        <f t="shared" si="15"/>
        <v>122.44680000000002</v>
      </c>
      <c r="Z36" s="78">
        <f t="shared" si="16"/>
        <v>122.44680000000002</v>
      </c>
      <c r="AA36" s="78">
        <f t="shared" si="17"/>
        <v>611.52380000000005</v>
      </c>
    </row>
    <row r="37" spans="1:27" ht="17">
      <c r="A37" s="58" t="s">
        <v>194</v>
      </c>
      <c r="B37" s="58" t="s">
        <v>82</v>
      </c>
      <c r="C37" s="54">
        <f>INDEX(PAINEL!$B$4:$B$100,MATCH($A37,PAINEL!$A$4:$A$100,0))</f>
        <v>1</v>
      </c>
      <c r="D37" s="55">
        <v>2182.59</v>
      </c>
      <c r="E37" s="55">
        <v>2605</v>
      </c>
      <c r="F37" s="55">
        <f t="shared" si="26"/>
        <v>4787.59</v>
      </c>
      <c r="G37" s="55">
        <f t="shared" si="2"/>
        <v>489.077</v>
      </c>
      <c r="H37" s="55">
        <v>1175</v>
      </c>
      <c r="I37" s="54" t="s">
        <v>77</v>
      </c>
      <c r="J37" s="55">
        <f t="shared" si="27"/>
        <v>6451.6670000000004</v>
      </c>
      <c r="K37" s="55">
        <f t="shared" si="28"/>
        <v>77420.004000000001</v>
      </c>
      <c r="L37" s="55">
        <f t="shared" si="29"/>
        <v>4787.59</v>
      </c>
      <c r="M37" s="55">
        <f t="shared" si="30"/>
        <v>1595.8633333333335</v>
      </c>
      <c r="N37" s="55">
        <v>719.47</v>
      </c>
      <c r="O37" s="55">
        <f t="shared" si="31"/>
        <v>84522.927333333326</v>
      </c>
      <c r="P37" s="55">
        <f t="shared" si="32"/>
        <v>84522.927333333326</v>
      </c>
      <c r="Q37" s="58" t="s">
        <v>365</v>
      </c>
      <c r="R37" s="54">
        <f t="shared" si="8"/>
        <v>4787.59</v>
      </c>
      <c r="S37" s="78">
        <f t="shared" si="9"/>
        <v>489.077</v>
      </c>
      <c r="T37" s="78">
        <f t="shared" si="10"/>
        <v>489.077</v>
      </c>
      <c r="U37" s="78">
        <f t="shared" si="11"/>
        <v>4787.59</v>
      </c>
      <c r="V37" s="78">
        <f t="shared" si="12"/>
        <v>489.077</v>
      </c>
      <c r="W37" s="78">
        <f t="shared" si="13"/>
        <v>489.077</v>
      </c>
      <c r="X37" s="78">
        <f t="shared" si="14"/>
        <v>1595.8633333333335</v>
      </c>
      <c r="Y37" s="78">
        <f t="shared" si="15"/>
        <v>122.44680000000002</v>
      </c>
      <c r="Z37" s="78">
        <f t="shared" si="16"/>
        <v>122.44680000000002</v>
      </c>
      <c r="AA37" s="78">
        <f t="shared" si="17"/>
        <v>611.52380000000005</v>
      </c>
    </row>
    <row r="38" spans="1:27" ht="17">
      <c r="A38" s="58" t="s">
        <v>20</v>
      </c>
      <c r="B38" s="58" t="s">
        <v>82</v>
      </c>
      <c r="C38" s="54">
        <f>INDEX(PAINEL!$B$4:$B$100,MATCH($A38,PAINEL!$A$4:$A$100,0))</f>
        <v>3</v>
      </c>
      <c r="D38" s="55">
        <v>2182.59</v>
      </c>
      <c r="E38" s="55">
        <v>2605</v>
      </c>
      <c r="F38" s="55">
        <f t="shared" si="26"/>
        <v>4787.59</v>
      </c>
      <c r="G38" s="55">
        <f t="shared" si="2"/>
        <v>489.077</v>
      </c>
      <c r="H38" s="55">
        <v>1175</v>
      </c>
      <c r="I38" s="54" t="s">
        <v>77</v>
      </c>
      <c r="J38" s="55">
        <f t="shared" si="27"/>
        <v>6451.6670000000004</v>
      </c>
      <c r="K38" s="55">
        <f t="shared" si="28"/>
        <v>77420.004000000001</v>
      </c>
      <c r="L38" s="55">
        <f t="shared" si="29"/>
        <v>4787.59</v>
      </c>
      <c r="M38" s="55">
        <f t="shared" si="30"/>
        <v>1595.8633333333335</v>
      </c>
      <c r="N38" s="55">
        <v>720.47</v>
      </c>
      <c r="O38" s="55">
        <f>SUM(K38:N38)</f>
        <v>84523.927333333326</v>
      </c>
      <c r="P38" s="55">
        <f>C38*O38</f>
        <v>253571.78199999998</v>
      </c>
      <c r="Q38" s="58" t="s">
        <v>365</v>
      </c>
      <c r="R38" s="54">
        <f t="shared" si="8"/>
        <v>4787.59</v>
      </c>
      <c r="S38" s="78">
        <f t="shared" si="9"/>
        <v>489.077</v>
      </c>
      <c r="T38" s="78">
        <f t="shared" si="10"/>
        <v>489.077</v>
      </c>
      <c r="U38" s="78">
        <f t="shared" si="11"/>
        <v>4787.59</v>
      </c>
      <c r="V38" s="78">
        <f t="shared" si="12"/>
        <v>489.077</v>
      </c>
      <c r="W38" s="78">
        <f t="shared" si="13"/>
        <v>489.077</v>
      </c>
      <c r="X38" s="78">
        <f t="shared" si="14"/>
        <v>1595.8633333333335</v>
      </c>
      <c r="Y38" s="78">
        <f t="shared" si="15"/>
        <v>122.44680000000002</v>
      </c>
      <c r="Z38" s="78">
        <f t="shared" si="16"/>
        <v>122.44680000000002</v>
      </c>
      <c r="AA38" s="78">
        <f t="shared" si="17"/>
        <v>611.52380000000005</v>
      </c>
    </row>
    <row r="39" spans="1:27">
      <c r="Q39" s="58"/>
    </row>
    <row r="59" spans="1:16" ht="17">
      <c r="A59" s="131" t="s">
        <v>78</v>
      </c>
      <c r="B59" s="131"/>
      <c r="C59" s="54">
        <f t="shared" ref="C59:H59" si="33">SUM(C4:C38)</f>
        <v>326</v>
      </c>
      <c r="D59" s="55">
        <f t="shared" si="33"/>
        <v>103837.01999999999</v>
      </c>
      <c r="E59" s="55">
        <f t="shared" si="33"/>
        <v>147150.21000000002</v>
      </c>
      <c r="F59" s="55">
        <f t="shared" si="33"/>
        <v>250987.23000000004</v>
      </c>
      <c r="G59" s="55">
        <f t="shared" si="33"/>
        <v>28900.233700000015</v>
      </c>
      <c r="H59" s="55">
        <f t="shared" si="33"/>
        <v>41125</v>
      </c>
      <c r="I59" s="54" t="s">
        <v>77</v>
      </c>
      <c r="J59" s="55">
        <f t="shared" ref="J59:P59" si="34">SUM(J4:J38)</f>
        <v>321012.46370000008</v>
      </c>
      <c r="K59" s="55">
        <f t="shared" si="34"/>
        <v>3852149.5644000028</v>
      </c>
      <c r="L59" s="55">
        <f t="shared" si="34"/>
        <v>250987.23000000004</v>
      </c>
      <c r="M59" s="55">
        <f t="shared" si="34"/>
        <v>83662.409999999945</v>
      </c>
      <c r="N59" s="55">
        <f t="shared" si="34"/>
        <v>33208.990399999995</v>
      </c>
      <c r="O59" s="55">
        <f t="shared" si="34"/>
        <v>4220008.1948000006</v>
      </c>
      <c r="P59" s="55">
        <f t="shared" si="34"/>
        <v>43055780.413466655</v>
      </c>
    </row>
  </sheetData>
  <autoFilter ref="A1:AA39"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O2:O3"/>
    <mergeCell ref="P2:P3"/>
    <mergeCell ref="A59:B59"/>
    <mergeCell ref="G2:G3"/>
    <mergeCell ref="H2:H3"/>
    <mergeCell ref="I2:I3"/>
    <mergeCell ref="L2:L3"/>
    <mergeCell ref="M2:M3"/>
    <mergeCell ref="N2:N3"/>
    <mergeCell ref="A1:A3"/>
    <mergeCell ref="B1:B3"/>
    <mergeCell ref="C2:C3"/>
    <mergeCell ref="D2:D3"/>
    <mergeCell ref="E2:E3"/>
    <mergeCell ref="F2:F3"/>
    <mergeCell ref="U1:W1"/>
    <mergeCell ref="U2:U3"/>
    <mergeCell ref="V2:V3"/>
    <mergeCell ref="W2:W3"/>
    <mergeCell ref="AA2:AA3"/>
    <mergeCell ref="X1:Z1"/>
    <mergeCell ref="X2:X3"/>
    <mergeCell ref="Y2:Y3"/>
    <mergeCell ref="Z2:Z3"/>
    <mergeCell ref="Q1:Q3"/>
    <mergeCell ref="R1:T1"/>
    <mergeCell ref="R2:R3"/>
    <mergeCell ref="S2:S3"/>
    <mergeCell ref="T2:T3"/>
  </mergeCells>
  <conditionalFormatting sqref="A59:P59">
    <cfRule type="expression" dxfId="1" priority="4">
      <formula>$Q39="CONFERIDO"</formula>
    </cfRule>
  </conditionalFormatting>
  <conditionalFormatting sqref="A4:Q38 Q39 A40:Q58 Q59 A60:Q14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362</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363</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73"/>
      <c r="B1" s="74" t="s">
        <v>366</v>
      </c>
      <c r="C1" s="75">
        <v>7159.87</v>
      </c>
      <c r="D1" s="73"/>
      <c r="E1" s="74" t="s">
        <v>367</v>
      </c>
      <c r="F1" s="76">
        <f>IF(C2&lt;7786.02,C2,((C2-7786.02)*8.5%)+7786.02)</f>
        <v>821.19620000000009</v>
      </c>
      <c r="G1" s="73"/>
    </row>
    <row r="2" spans="1:7" ht="16">
      <c r="A2" s="73"/>
      <c r="B2" s="74" t="s">
        <v>368</v>
      </c>
      <c r="C2" s="76">
        <f>IF(C1&lt;1412.01,(105.9),IF(C1&lt;2666.69,(((C1-1412.01)*9%)+105.9),IF(C1&lt;4000.04,(((C1-2666.69)*12%)+218.82),IF(C1&lt;7786.03,(((C1-4000.04)*14%)+378.82),IF(C1&lt;13333.49,(((C1-7786.03)*14.5%)+908.86),IF(C1&lt;26666.95,(((C1-13333.49)*16.5%)+1713.24),IF(C1&lt;52000.54,(((C1-26666.95)*19%)+3913.26),IF(C1&gt;52000.54,(((C1-52000.54)*22%)+8726.64),"ERRO"))))))))</f>
        <v>821.19620000000009</v>
      </c>
      <c r="D2" s="73"/>
      <c r="E2" s="73"/>
      <c r="F2" s="73"/>
      <c r="G2" s="73"/>
    </row>
    <row r="3" spans="1:7" ht="16">
      <c r="A3" s="73"/>
      <c r="B3" s="73"/>
      <c r="C3" s="73"/>
      <c r="D3" s="73"/>
      <c r="E3" s="73"/>
      <c r="F3" s="77"/>
      <c r="G3" s="73"/>
    </row>
    <row r="4" spans="1:7" ht="16">
      <c r="A4" s="77"/>
      <c r="B4" s="73"/>
      <c r="C4" s="73"/>
      <c r="D4" s="73"/>
      <c r="E4" s="73"/>
      <c r="F4" s="73"/>
      <c r="G4" s="73"/>
    </row>
    <row r="5" spans="1:7" ht="16">
      <c r="A5" s="77"/>
      <c r="B5" s="73"/>
      <c r="C5" s="73"/>
      <c r="D5" s="73"/>
      <c r="E5" s="73"/>
      <c r="F5" s="73"/>
      <c r="G5" s="73"/>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2025-12-13T21:39:18Z</dcterms:modified>
</cp:coreProperties>
</file>